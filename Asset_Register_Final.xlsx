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30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6608EC-31EE-4E63-AB1F-8442BEF2F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MLY&amp;R Asset Register" sheetId="1" r:id="rId1"/>
    <sheet name="LISTS" sheetId="2" r:id="rId2"/>
  </sheets>
  <externalReferences>
    <externalReference r:id="rId3"/>
  </externalReferences>
  <definedNames>
    <definedName name="Asset_Classifiaction_List">'[1]spreadsheet varibles'!$B$57:$B$80</definedName>
    <definedName name="Asset_Make_List">'[1]spreadsheet varibles'!$A$54:$A$63</definedName>
    <definedName name="Machine_Location_List">'[1]spreadsheet varibles'!$C$29:$C$38</definedName>
    <definedName name="Machine_Status_List">'[1]spreadsheet varibles'!$B$29:$B$52</definedName>
    <definedName name="VMLTEMPLATE_INVENTORY" localSheetId="0" hidden="1">'VMLY&amp;R Asset Register'!$A$1:$L$169</definedName>
  </definedNames>
  <calcPr calcId="191028"/>
</workbook>
</file>

<file path=xl/calcChain.xml><?xml version="1.0" encoding="utf-8"?>
<calcChain xmlns="http://schemas.openxmlformats.org/spreadsheetml/2006/main">
  <c r="I3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vmpbiadmin\OneDrive - YRBrands\VMLTEMPLATE INVENTORY.iqy" keepAlive="1" name="VMLTEMPLATE INVENTORY" type="5" refreshedVersion="6" minRefreshableVersion="3" saveData="1">
    <dbPr connection="Provider=Microsoft.Office.List.OLEDB.2.0;Data Source=&quot;&quot;;ApplicationName=Excel;Version=12.0.0.0" command="&lt;LIST&gt;&lt;VIEWGUID&gt;D32C9A23-10AD-43CA-A443-B4E4BE952E05&lt;/VIEWGUID&gt;&lt;LISTNAME&gt;{F50979C0-47C0-4B32-A3A4-2EAB891C42F4}&lt;/LISTNAME&gt;&lt;LISTWEB&gt;https://yrb.sharepoint.com/sites/YR-COLOMBIA/INVENTARIO-I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<sst xmlns="http://schemas.openxmlformats.org/spreadsheetml/2006/main" count="1268" uniqueCount="482">
  <si>
    <t>Serial Number</t>
  </si>
  <si>
    <t>Company</t>
  </si>
  <si>
    <t>Computer Type</t>
  </si>
  <si>
    <t>Brand</t>
  </si>
  <si>
    <t>Model</t>
  </si>
  <si>
    <t>Year</t>
  </si>
  <si>
    <t>OpCo Asset Tag</t>
  </si>
  <si>
    <t>Invoice Number</t>
  </si>
  <si>
    <t>InvoiceDate</t>
  </si>
  <si>
    <t>State</t>
  </si>
  <si>
    <t>Comments</t>
  </si>
  <si>
    <t>Assigned to</t>
  </si>
  <si>
    <t>Column1</t>
  </si>
  <si>
    <t>Column2</t>
  </si>
  <si>
    <t>C02ZV0N0LVDL</t>
  </si>
  <si>
    <t>With Operating Company</t>
  </si>
  <si>
    <t>MAC LAPTOP</t>
  </si>
  <si>
    <t>Apple</t>
  </si>
  <si>
    <t>LONGHLVML000279</t>
  </si>
  <si>
    <t>In use</t>
  </si>
  <si>
    <t>Alcock Mikael</t>
  </si>
  <si>
    <t>Alves Sergio</t>
  </si>
  <si>
    <t>SFVFYK0D7HV2G</t>
  </si>
  <si>
    <t>LONGLHRKC000583</t>
  </si>
  <si>
    <t>Arteta Perle</t>
  </si>
  <si>
    <t>FVFWG6UQHV29</t>
  </si>
  <si>
    <t>Aston (Kemp) Jennifer</t>
  </si>
  <si>
    <t>C02QRNHVFVH5</t>
  </si>
  <si>
    <t>LONGLHRKC000552</t>
  </si>
  <si>
    <t>Baker Phil</t>
  </si>
  <si>
    <t>C02NX2JZG3QD</t>
  </si>
  <si>
    <t>User is based in SCH</t>
  </si>
  <si>
    <t>LONGLHRKC000451</t>
  </si>
  <si>
    <t>Bamu Stanley</t>
  </si>
  <si>
    <t>FVFTX1PAJ1WV</t>
  </si>
  <si>
    <t>Beames Laura</t>
  </si>
  <si>
    <t>C02NX2FVG3QD</t>
  </si>
  <si>
    <t>Black Annabelle</t>
  </si>
  <si>
    <t>C02VJ32QHV2Q</t>
  </si>
  <si>
    <t>Brasil Marcela</t>
  </si>
  <si>
    <t>SFVFV9H3RJ1WL</t>
  </si>
  <si>
    <t>Brennan Sinead</t>
  </si>
  <si>
    <t>C02R4EE2G8WN</t>
  </si>
  <si>
    <t>LONGLHVML000246</t>
  </si>
  <si>
    <t>Bright Rebecca</t>
  </si>
  <si>
    <t>C02L51RHF8J4</t>
  </si>
  <si>
    <t>MAC DESKTOP</t>
  </si>
  <si>
    <t>Britteon Adrian</t>
  </si>
  <si>
    <t>SFVFV9HAFJ1WL</t>
  </si>
  <si>
    <t>Broad Tom</t>
  </si>
  <si>
    <t>SC02Y5FQYJHC8</t>
  </si>
  <si>
    <t>Brownlow Emily</t>
  </si>
  <si>
    <t>C02M14THF5V8</t>
  </si>
  <si>
    <t>Bryan-Fasano Metzti</t>
  </si>
  <si>
    <t>C02ZJ1B1LVDN</t>
  </si>
  <si>
    <t>Burkitt Daniel</t>
  </si>
  <si>
    <t>FVFZJ0XHLYWQ</t>
  </si>
  <si>
    <t>Campbell Freddie</t>
  </si>
  <si>
    <t>FVFZJ10WLYWQ</t>
  </si>
  <si>
    <t>Chakraverty Ollie</t>
  </si>
  <si>
    <t>C02VK07EHH22</t>
  </si>
  <si>
    <t>LONGLHVML000249</t>
  </si>
  <si>
    <t>Charruau Claire</t>
  </si>
  <si>
    <t>C02N48XSG3QC</t>
  </si>
  <si>
    <t xml:space="preserve">LONGLHRKC000455 </t>
  </si>
  <si>
    <t>Chatterjee Ishan</t>
  </si>
  <si>
    <t>SFVFV9GSHJ1WL</t>
  </si>
  <si>
    <t>Clapp Rachel</t>
  </si>
  <si>
    <t>SFVFY739ZHV29</t>
  </si>
  <si>
    <t>Clunies-Ross Jethro</t>
  </si>
  <si>
    <t>C02R4EKWG8WN</t>
  </si>
  <si>
    <t>ex Ellie Bloomfield</t>
  </si>
  <si>
    <t>Coelho Catarina</t>
  </si>
  <si>
    <t>SFVFWGED7J1WL</t>
  </si>
  <si>
    <t>Cottingham Alexa</t>
  </si>
  <si>
    <t>FVFY76J5HV29</t>
  </si>
  <si>
    <t>Cownie Jennifer</t>
  </si>
  <si>
    <t>C1MT20A8H3QK</t>
  </si>
  <si>
    <t>Crabtree Anna</t>
  </si>
  <si>
    <t>C02WC1K0HTD8</t>
  </si>
  <si>
    <t xml:space="preserve">Ex Lucy Taylor </t>
  </si>
  <si>
    <t>Croston Joshua</t>
  </si>
  <si>
    <t>2p633g2</t>
  </si>
  <si>
    <t>PC LAPTOP</t>
  </si>
  <si>
    <t>Dell</t>
  </si>
  <si>
    <t>Latitude 7480</t>
  </si>
  <si>
    <t xml:space="preserve">Y&amp;R Group </t>
  </si>
  <si>
    <t>Dale Claire</t>
  </si>
  <si>
    <t>SC02YM1GVJGH5</t>
  </si>
  <si>
    <t>LONGLHVML000295</t>
  </si>
  <si>
    <t>Davies Zoe</t>
  </si>
  <si>
    <t>SC02Z21HMLVDL</t>
  </si>
  <si>
    <t>LONGLHVML000297</t>
  </si>
  <si>
    <t>Davis Charlotte</t>
  </si>
  <si>
    <t>SFVFX9B3QJ1WL</t>
  </si>
  <si>
    <t>Daywood Caner</t>
  </si>
  <si>
    <t>C02ZJ1AZLVDN</t>
  </si>
  <si>
    <t>De Figueiredo Jacob</t>
  </si>
  <si>
    <t>FVFTX1NMJ1WV</t>
  </si>
  <si>
    <t>Dillow Simon</t>
  </si>
  <si>
    <t>FVFWGE14J1WL</t>
  </si>
  <si>
    <t>Dixon Kallula</t>
  </si>
  <si>
    <t>SFVFYM023HV2G</t>
  </si>
  <si>
    <t>Donnelly Kerry</t>
  </si>
  <si>
    <t>FVFZW0E8LYWN</t>
  </si>
  <si>
    <t>Dooley Beth</t>
  </si>
  <si>
    <t>Douglas Kate</t>
  </si>
  <si>
    <t>FVFTX1P4J1WV</t>
  </si>
  <si>
    <t xml:space="preserve">ex Jessica Riches </t>
  </si>
  <si>
    <t>Dovgialo Karolina</t>
  </si>
  <si>
    <t>C02R4EKQG8WN</t>
  </si>
  <si>
    <t>Duck Elliot</t>
  </si>
  <si>
    <t>C1MR21ECG944</t>
  </si>
  <si>
    <t>LONGLHVML000616</t>
  </si>
  <si>
    <t>English Sarah</t>
  </si>
  <si>
    <t>SFVFZ90FALYWN</t>
  </si>
  <si>
    <t>LONGLHVML000248</t>
  </si>
  <si>
    <t>Erickson Taylor</t>
  </si>
  <si>
    <t>C1MR8045G944</t>
  </si>
  <si>
    <t>Esposito Leanne</t>
  </si>
  <si>
    <t>C1MR8045G955</t>
  </si>
  <si>
    <t>LONGLHVML000250</t>
  </si>
  <si>
    <t>Ewles Jonathan</t>
  </si>
  <si>
    <t>SDMPY7171KD8D</t>
  </si>
  <si>
    <t>LONGLHVML000251</t>
  </si>
  <si>
    <t>Farmer Amanda</t>
  </si>
  <si>
    <t>C1MR730JG944</t>
  </si>
  <si>
    <t>LONGLHVML000252</t>
  </si>
  <si>
    <t>Fernandes Fernanda</t>
  </si>
  <si>
    <t>SFVFY76K4HV29</t>
  </si>
  <si>
    <t>LONGLHVML000253</t>
  </si>
  <si>
    <t>Fitzgerald Tanya</t>
  </si>
  <si>
    <t>SFVFZ90FELYWN</t>
  </si>
  <si>
    <t xml:space="preserve">With Trams </t>
  </si>
  <si>
    <t>LONGLHVML000254</t>
  </si>
  <si>
    <t>Forrest Maggie</t>
  </si>
  <si>
    <t>DGKYNHDWJV40</t>
  </si>
  <si>
    <t>LONGLHVML000255</t>
  </si>
  <si>
    <t>Frain Dominic</t>
  </si>
  <si>
    <t>C02VP7S4HV2L</t>
  </si>
  <si>
    <t>LONGLHVML000256</t>
  </si>
  <si>
    <t>ex Athrina Collaro</t>
  </si>
  <si>
    <t>Francis Katherine</t>
  </si>
  <si>
    <t>SFVFY76BJHV29</t>
  </si>
  <si>
    <t>LONGLHVML000257</t>
  </si>
  <si>
    <t>Freeburn Kari</t>
  </si>
  <si>
    <t>CIMR8045G995</t>
  </si>
  <si>
    <t>LONGLHVML000258</t>
  </si>
  <si>
    <t>Freeman David</t>
  </si>
  <si>
    <t>SC02Z81S0LVDN</t>
  </si>
  <si>
    <t>Fridlund Doug</t>
  </si>
  <si>
    <t>1S20CLS08G00PC0B4283</t>
  </si>
  <si>
    <t>Lenovo</t>
  </si>
  <si>
    <t>ThinkPad X250</t>
  </si>
  <si>
    <t>LONGLHVML002241</t>
  </si>
  <si>
    <t>Taken to the MET building by Pravin (04/10/19)</t>
  </si>
  <si>
    <t>Furreedan Sophia</t>
  </si>
  <si>
    <t>SC02Z20CTLVDQ</t>
  </si>
  <si>
    <t>Gillard Grant</t>
  </si>
  <si>
    <t>CO2XM3ABJHD3</t>
  </si>
  <si>
    <t>LONGLHRKOOO443</t>
  </si>
  <si>
    <t>Gladwell David</t>
  </si>
  <si>
    <t>FVFTX1P9J1WV</t>
  </si>
  <si>
    <t>Goode Miriam</t>
  </si>
  <si>
    <t>Gouveia Sonia- Leaver</t>
  </si>
  <si>
    <t>C02R2D5NG8WN</t>
  </si>
  <si>
    <t>Greywoode Chris</t>
  </si>
  <si>
    <t>C1MT204PH3QK</t>
  </si>
  <si>
    <t>Harris Maesie</t>
  </si>
  <si>
    <t>SFVFV9H4NJ1WL</t>
  </si>
  <si>
    <t>Hart James</t>
  </si>
  <si>
    <t>C1MT713DH3QK</t>
  </si>
  <si>
    <t>Hatfield Billi</t>
  </si>
  <si>
    <t>C1MT20B7H3QK</t>
  </si>
  <si>
    <t>Hayward Tom</t>
  </si>
  <si>
    <t>Hooper Isobel</t>
  </si>
  <si>
    <t>C02QK0CAG8WN</t>
  </si>
  <si>
    <t>LONGLHRKC000526</t>
  </si>
  <si>
    <t>ex Meggin Borrett</t>
  </si>
  <si>
    <t>Howell Nic</t>
  </si>
  <si>
    <t>C02Z81S1LVDN</t>
  </si>
  <si>
    <t>LONGHLVML000697</t>
  </si>
  <si>
    <t>Hussain Sorwar</t>
  </si>
  <si>
    <t>SFVFWGED4J1WL</t>
  </si>
  <si>
    <t>Isaac Scott</t>
  </si>
  <si>
    <t>C1MPT7NCG944</t>
  </si>
  <si>
    <t>Ishmael Nora</t>
  </si>
  <si>
    <t>C02S6Y2PFVH5</t>
  </si>
  <si>
    <t>Jales Marta</t>
  </si>
  <si>
    <t>SFVFZ90FHLYWN</t>
  </si>
  <si>
    <t>Johnstone Richard</t>
  </si>
  <si>
    <t>C024ELDG8WN</t>
  </si>
  <si>
    <t>LONGLHVML000238</t>
  </si>
  <si>
    <t>Joseph Olivier</t>
  </si>
  <si>
    <t>Joyce Christopher</t>
  </si>
  <si>
    <t>C02RMC22VH5</t>
  </si>
  <si>
    <t>Kato Alastair</t>
  </si>
  <si>
    <t>SC02YM1GWJGH5</t>
  </si>
  <si>
    <t>LONGLHYRG000038</t>
  </si>
  <si>
    <t>i7/64GB/1TB RX580/8GB - Special for Chris</t>
  </si>
  <si>
    <t>Kerr Tamryn</t>
  </si>
  <si>
    <t>ThinkPad T450</t>
  </si>
  <si>
    <t>Kitchener Tim</t>
  </si>
  <si>
    <t>C02S4M7TFVH5</t>
  </si>
  <si>
    <t>Knight Sarah</t>
  </si>
  <si>
    <t>C02ZV0YSLVDL</t>
  </si>
  <si>
    <t>Lam Vicki</t>
  </si>
  <si>
    <t>ex Tamryn Kerr/ Sarah Glover</t>
  </si>
  <si>
    <t>Landa Michal</t>
  </si>
  <si>
    <t>FVFWGUKUJ1WL</t>
  </si>
  <si>
    <t>Levy Micha</t>
  </si>
  <si>
    <t>SFVFWGDC6J1WL</t>
  </si>
  <si>
    <t>Lewis Sophie</t>
  </si>
  <si>
    <t>C02R4EHG8WN</t>
  </si>
  <si>
    <t>Li Dun</t>
  </si>
  <si>
    <t>15-inch MacBook Pro (Early 2019)</t>
  </si>
  <si>
    <t>LONGHRKC000690</t>
  </si>
  <si>
    <t xml:space="preserve">Liakh Daniil                           </t>
  </si>
  <si>
    <t>C1MQR5CNG944</t>
  </si>
  <si>
    <t>Linford Mark</t>
  </si>
  <si>
    <t>C02N34CPG5RP</t>
  </si>
  <si>
    <t>Lipman Daniel</t>
  </si>
  <si>
    <t>C02QRNDWFVH5</t>
  </si>
  <si>
    <t>LONGLHRKC000554</t>
  </si>
  <si>
    <t>Luke Matthew</t>
  </si>
  <si>
    <t>C02S4MA9FVH5</t>
  </si>
  <si>
    <t>MacKinnon Kate</t>
  </si>
  <si>
    <t>SFVFX9AYGJ1WL</t>
  </si>
  <si>
    <t>Maiz Ignacio</t>
  </si>
  <si>
    <t>SC02Y5FUNJHC8</t>
  </si>
  <si>
    <t>Mather Oliver</t>
  </si>
  <si>
    <t>CIMT7M0H3Q</t>
  </si>
  <si>
    <t>Mathurin Vickki</t>
  </si>
  <si>
    <t>FVC60HSLYWN</t>
  </si>
  <si>
    <t>LONGHLVML000017</t>
  </si>
  <si>
    <t>Mattocks Julian</t>
  </si>
  <si>
    <t>34" UWQHD Curve Screen</t>
  </si>
  <si>
    <t>LONGLHWUN00607</t>
  </si>
  <si>
    <t>16gb RAM / 256gb ssd ex Sue Jackson</t>
  </si>
  <si>
    <t>McCafferty Gillian</t>
  </si>
  <si>
    <t>C1MT20A4H3QK</t>
  </si>
  <si>
    <t>McGrath Gavin</t>
  </si>
  <si>
    <t>C1MT2044PH3QK</t>
  </si>
  <si>
    <t>Michalowski Marcin</t>
  </si>
  <si>
    <t>C02ZJ1B0LVDN</t>
  </si>
  <si>
    <t>Mikulin Jan</t>
  </si>
  <si>
    <t>C1MT20ACH3QK</t>
  </si>
  <si>
    <t>Morton Sarah</t>
  </si>
  <si>
    <t>1S20CLS08G1BPC09B9KP</t>
  </si>
  <si>
    <t>ex Meggin Borret</t>
  </si>
  <si>
    <t>Murrell Nicholas</t>
  </si>
  <si>
    <t>CO2XM3AAJHD3</t>
  </si>
  <si>
    <t>LONGLHRKC000662</t>
  </si>
  <si>
    <t>New John</t>
  </si>
  <si>
    <t>SC02YV3V7LVCH</t>
  </si>
  <si>
    <t>LONGLHRKC000692</t>
  </si>
  <si>
    <t>Noorzad Yama</t>
  </si>
  <si>
    <t>C02VH1QQHTD7</t>
  </si>
  <si>
    <t>Opoku Nana</t>
  </si>
  <si>
    <t>SC02Y5M5HJHC8</t>
  </si>
  <si>
    <t>Ortner Andreas</t>
  </si>
  <si>
    <t>C02K465YDNCW</t>
  </si>
  <si>
    <t>Page Gracie</t>
  </si>
  <si>
    <t>SC02Y905BJHC8</t>
  </si>
  <si>
    <t>Pahl Justin</t>
  </si>
  <si>
    <t>PC04RBUE</t>
  </si>
  <si>
    <t>Paul-Jones Charlene</t>
  </si>
  <si>
    <t>Philpot Daniel</t>
  </si>
  <si>
    <t>C02LPF0F5V8</t>
  </si>
  <si>
    <t xml:space="preserve">With Operating Compnay </t>
  </si>
  <si>
    <t>LONGLHRKC000435</t>
  </si>
  <si>
    <t>Player Laura</t>
  </si>
  <si>
    <t>C02W31RBHTD6</t>
  </si>
  <si>
    <r>
      <t>P</t>
    </r>
    <r>
      <rPr>
        <sz val="12"/>
        <rFont val="Calibri"/>
        <family val="2"/>
        <scheme val="minor"/>
      </rPr>
      <t>lummer William</t>
    </r>
  </si>
  <si>
    <t>SC02XM2R9JHD3</t>
  </si>
  <si>
    <t>Prytherch Oscar</t>
  </si>
  <si>
    <t>FYFTX1NKJ1WV</t>
  </si>
  <si>
    <t>Ramsay Maddie</t>
  </si>
  <si>
    <t>FVFZJ113LYWQ</t>
  </si>
  <si>
    <t>Ray Suzy</t>
  </si>
  <si>
    <t>SFVFWGBBZJ1WL</t>
  </si>
  <si>
    <t>Redfern Mike</t>
  </si>
  <si>
    <t>SC02VCAGLHV2L</t>
  </si>
  <si>
    <t>LONGHLYRG000046</t>
  </si>
  <si>
    <t>Roalfe Mark</t>
  </si>
  <si>
    <t>C02MP340F8J4</t>
  </si>
  <si>
    <t>Robb George</t>
  </si>
  <si>
    <t>C02R4EK2G8WN</t>
  </si>
  <si>
    <t>Ryan Kallon</t>
  </si>
  <si>
    <t>C02R4EKVG8WN</t>
  </si>
  <si>
    <t>Saddington Louisa</t>
  </si>
  <si>
    <t>C02VH1RUHTD7</t>
  </si>
  <si>
    <t xml:space="preserve">Salisbury Guy                                  </t>
  </si>
  <si>
    <t>C02QL6FHG8WN</t>
  </si>
  <si>
    <t>ex Tom Jackson</t>
  </si>
  <si>
    <t>Saunders Arabella</t>
  </si>
  <si>
    <t>Saunders Thomas</t>
  </si>
  <si>
    <t>C1MQM5HQG944</t>
  </si>
  <si>
    <t>Schnell Isabel</t>
  </si>
  <si>
    <t>C1MT20ANH3Q</t>
  </si>
  <si>
    <t>Scott John</t>
  </si>
  <si>
    <t>SC02XM2RDJHD3</t>
  </si>
  <si>
    <t>Shardlow Emily</t>
  </si>
  <si>
    <t>C02G3AW1DHJP</t>
  </si>
  <si>
    <t>LONGHLVML000043</t>
  </si>
  <si>
    <t>Sieff David</t>
  </si>
  <si>
    <t>C02Z52LGLVCG</t>
  </si>
  <si>
    <t>MacBook Pro (15-inch, 2019)</t>
  </si>
  <si>
    <t>Simon Laurent</t>
  </si>
  <si>
    <t>C02PNRXWG8WN</t>
  </si>
  <si>
    <t>ex Sarra Collins/ Kate Douglas/Mirko Grahnert</t>
  </si>
  <si>
    <t>Singh Gurudave</t>
  </si>
  <si>
    <t>SFVFV9HGSJ1WL</t>
  </si>
  <si>
    <t>Smee Sophie</t>
  </si>
  <si>
    <t>C02X29R0JHC9</t>
  </si>
  <si>
    <t>Smith Andrew</t>
  </si>
  <si>
    <t>C02X11KMJHCF</t>
  </si>
  <si>
    <t>Spataru Cristiana</t>
  </si>
  <si>
    <t>C02MT4ZRF8J4</t>
  </si>
  <si>
    <t>Stout Gethin</t>
  </si>
  <si>
    <t>SC02YV3X8LVCH</t>
  </si>
  <si>
    <t>LONGLHRKC000693</t>
  </si>
  <si>
    <t>Strong Kurt</t>
  </si>
  <si>
    <t>C02N73XFG5RP</t>
  </si>
  <si>
    <t>Sucharska Marta</t>
  </si>
  <si>
    <t>FVFZW0E7LYWN</t>
  </si>
  <si>
    <t>Tattersfield Karan</t>
  </si>
  <si>
    <t>SC02Y5FYJJHC8</t>
  </si>
  <si>
    <t>Taylor Sophie</t>
  </si>
  <si>
    <t>Taylor-Dadds Joshua</t>
  </si>
  <si>
    <t>FVFZW0E9LYWN</t>
  </si>
  <si>
    <t>Teer Philip</t>
  </si>
  <si>
    <t>ex Nossia Majuqwana / Alannah Sparks / Grace Carroll</t>
  </si>
  <si>
    <t>Thompson Karen Michele</t>
  </si>
  <si>
    <t>SFVFY7183JK77</t>
  </si>
  <si>
    <t>Thomson Ellie</t>
  </si>
  <si>
    <t>C02W229THV2R</t>
  </si>
  <si>
    <t>Townsend Kenny</t>
  </si>
  <si>
    <t>SFVFX9B58J1WL</t>
  </si>
  <si>
    <t>Tunkel Marsha</t>
  </si>
  <si>
    <t>CO2WJ2Z2HTDF</t>
  </si>
  <si>
    <t>Verheul Phil</t>
  </si>
  <si>
    <t>C1MQM6G9G944</t>
  </si>
  <si>
    <t>Vota Raffaella</t>
  </si>
  <si>
    <t>C1MT712TH3QK</t>
  </si>
  <si>
    <t>Wells Rob</t>
  </si>
  <si>
    <t>SC02YM1GTJGH5</t>
  </si>
  <si>
    <t>Willis Christopher</t>
  </si>
  <si>
    <t>C1MQM6GYG944</t>
  </si>
  <si>
    <t>Winterbotham Alex</t>
  </si>
  <si>
    <t>C02W817SHTD8</t>
  </si>
  <si>
    <t>Sarah Glover (Sarah Coker)</t>
  </si>
  <si>
    <t>Wood Chris</t>
  </si>
  <si>
    <t>C1MT61P4H3QK</t>
  </si>
  <si>
    <t>Woodrow Siobhan</t>
  </si>
  <si>
    <t>C02QN0T9FVH6</t>
  </si>
  <si>
    <t>LONGLHVML000220</t>
  </si>
  <si>
    <t>Wooldridge Candida</t>
  </si>
  <si>
    <t>C1MSP64ZH3QK</t>
  </si>
  <si>
    <t>Young David</t>
  </si>
  <si>
    <t>GMLLZF2</t>
  </si>
  <si>
    <t>With operating company</t>
  </si>
  <si>
    <t xml:space="preserve"> Lattitude 7480</t>
  </si>
  <si>
    <t>Ahmed Tasnim</t>
  </si>
  <si>
    <t>Ardenti David</t>
  </si>
  <si>
    <t>Attridge Trevor</t>
  </si>
  <si>
    <t>Boswell Karen</t>
  </si>
  <si>
    <t>no responsre yet</t>
  </si>
  <si>
    <t>Burstin Nick</t>
  </si>
  <si>
    <t>He would come on Monday</t>
  </si>
  <si>
    <t>R90GHN86</t>
  </si>
  <si>
    <t>WITH operating  companyPc Laptop</t>
  </si>
  <si>
    <t>Lenovo X1 Carbon</t>
  </si>
  <si>
    <t>LONGHLVML00019</t>
  </si>
  <si>
    <t>`Capierzynska Renata</t>
  </si>
  <si>
    <t>C02VV0UKHV2F</t>
  </si>
  <si>
    <t>C02TW1BTHV2F</t>
  </si>
  <si>
    <t>C02QV7CZFVH7</t>
  </si>
  <si>
    <t>LONGLHVML000176</t>
  </si>
  <si>
    <t>FVFYG0M9JK7Q</t>
  </si>
  <si>
    <t>R90GBN87</t>
  </si>
  <si>
    <t>Lenova</t>
  </si>
  <si>
    <t>T450</t>
  </si>
  <si>
    <t>LONGLHVML000298</t>
  </si>
  <si>
    <t>S429834</t>
  </si>
  <si>
    <t>Asset Label Missing</t>
  </si>
  <si>
    <t xml:space="preserve">With Operating Company </t>
  </si>
  <si>
    <t>MacBook Air(13-inch Early 2017)</t>
  </si>
  <si>
    <t>LONGLHYRE000137</t>
  </si>
  <si>
    <t xml:space="preserve">With Operating Compnay PC </t>
  </si>
  <si>
    <t xml:space="preserve">Asking me to visit his place </t>
  </si>
  <si>
    <t>LONGLHYRE00126</t>
  </si>
  <si>
    <t>Y04611</t>
  </si>
  <si>
    <t xml:space="preserve">No Response </t>
  </si>
  <si>
    <t>C02VH3CBHV2Q</t>
  </si>
  <si>
    <t>PC04RBUY</t>
  </si>
  <si>
    <t>LONGLHRKC000615</t>
  </si>
  <si>
    <t>C02SX6M5GTFL</t>
  </si>
  <si>
    <t>R9OGPMWE15/07</t>
  </si>
  <si>
    <t>Lenova X1 CARBON</t>
  </si>
  <si>
    <t>R9OGPMN90</t>
  </si>
  <si>
    <t>With operating Company</t>
  </si>
  <si>
    <t>Dell  7480</t>
  </si>
  <si>
    <t>Thubkpad T440</t>
  </si>
  <si>
    <t>LONGLHYRG000017</t>
  </si>
  <si>
    <t>In purchase</t>
  </si>
  <si>
    <t>In stock</t>
  </si>
  <si>
    <t>PC DESKTOP</t>
  </si>
  <si>
    <t>Under maintenance</t>
  </si>
  <si>
    <t>Obsolete</t>
  </si>
  <si>
    <t>Missing</t>
  </si>
  <si>
    <t>Discarded</t>
  </si>
  <si>
    <t>MacBook Pro (13-inch, 2019, 4 TBT3)</t>
  </si>
  <si>
    <t>MacBook Pro (Retina, 13-inch, Early 2015)</t>
  </si>
  <si>
    <t>MacBook Pro (13-inch, 2017, Two Thunderbolt 3 ports)</t>
  </si>
  <si>
    <t>Serial number not Valid</t>
  </si>
  <si>
    <t>MacBook Pro (Retina, 15-inch, Mid 2014)</t>
  </si>
  <si>
    <t>MacBook Air (13-inch, 2017)</t>
  </si>
  <si>
    <t>MacBook Pro (13-inch, 2017, Four Thunderbolt 3 Ports)</t>
  </si>
  <si>
    <t>MacBook Pro (Retina, 15-inch, Mid 2015)</t>
  </si>
  <si>
    <t>iMac (27-inch, Late 2013)</t>
  </si>
  <si>
    <t>MacBook Air (13-inch, Mid 2013)</t>
  </si>
  <si>
    <t>MacBook Air (Retina, 13-inch, 2019)</t>
  </si>
  <si>
    <t>MacBook (Retina, 12-inch, 2017)</t>
  </si>
  <si>
    <t>MacBook Air (13-inch, Early 2015)</t>
  </si>
  <si>
    <t>MacBook Pro (15-inch, 2017)</t>
  </si>
  <si>
    <t xml:space="preserve">MacBook Air (13-inch, 2017)
</t>
  </si>
  <si>
    <t>iMac (Retina 5K, 27-inch, 2019)</t>
  </si>
  <si>
    <t>MacBook Air (13-inch, Early 2014)</t>
  </si>
  <si>
    <t>iMac (27-inch, Late 2012)</t>
  </si>
  <si>
    <t>iMac (27-inch, Mid 2011)</t>
  </si>
  <si>
    <t>MacBook Pro (13-inch, 2018, Four Thunderbolt 3 Ports)</t>
  </si>
  <si>
    <t>MacBook Air (Retina, 13-inch, 2018)</t>
  </si>
  <si>
    <t>MacBook Pro (15-inch, 2016)</t>
  </si>
  <si>
    <t>in use</t>
  </si>
  <si>
    <t>SERIAL NUMBER NOT VALID</t>
  </si>
  <si>
    <t>ex Paul Millar / PURCHASE DATE UNAVAILABLE</t>
  </si>
  <si>
    <t>PURCHASE DATE UNAVAILABLE</t>
  </si>
  <si>
    <t>ex Grace Carroll / PURCHASE DATE UNAVAILABLE</t>
  </si>
  <si>
    <t xml:space="preserve">ex Kurt Strong/Alannah Sparks/ Oliver Wilsher /Mark Winter / </t>
  </si>
  <si>
    <t>N/A</t>
  </si>
  <si>
    <t>Ex, Ben Van Der Gucht / SERIAL NUMBER NOT VALID</t>
  </si>
  <si>
    <t>In Comms Room / PURCHASE DATE UNAVAILABLE</t>
  </si>
  <si>
    <t>ex Rory Smale / SERIAL NUMBER NOT VALID</t>
  </si>
  <si>
    <t>Special order / SERIAL NUMBER NOT VALID</t>
  </si>
  <si>
    <t>16gb RAM / 256gb ssd / SERIAL NUMBER NOT VALID</t>
  </si>
  <si>
    <t>Supplied with Stylus, Surface connector to USBC, Dock and PSU, PSU / 
SERIAL NUMBER NOT VALID</t>
  </si>
  <si>
    <t>ex Annia Timchenko / Craig O'Brien / 
SERIAL NUMBER NOT VALID</t>
  </si>
  <si>
    <t>32gB RAM / 512gb ssd / SERIAL NUMBER NOT VALID</t>
  </si>
  <si>
    <t>ex Lucy Bugler /  / Suzy Ray / Gareth Bourne /Chloe Jones
SERIAL NUMBER NOT VALID</t>
  </si>
  <si>
    <t>ex Gabby Alisa / Henrique Monteiro
PURCHASE DATE UNAVAILABLE</t>
  </si>
  <si>
    <t>ex Amey Gokarn /Mark Bushnell/Mark Winter
PURCHASE DATE UNAVAILABLE</t>
  </si>
  <si>
    <t>returned from Trams / PURCHASE DATE UNAVAILABLE</t>
  </si>
  <si>
    <t>ex Rebecca Bright / Henrietta Bannister
PURCHASE DATE UNAVAILABLE</t>
  </si>
  <si>
    <t>ex Jim Bolton / Sarah Morton
PURCHASE DATE UNAVAILABLE</t>
  </si>
  <si>
    <t>ex Simin Radmanesh / SERIAL NUMBER NOT VALID</t>
  </si>
  <si>
    <t>ex Abigail Connaughton / Sarah Bakhaty / 
PURCHASE DATE UNAVAILABLE</t>
  </si>
  <si>
    <t>ex Maxwell Miller/ Quiche Campbell / Yama Noorzad
PURCHASE DATE UNAVAILABLE</t>
  </si>
  <si>
    <t>16gb RAM / 256gb ssd ex Ihsan Chatterjee #INC8590983
SERIAL NUMBER NOT VALID</t>
  </si>
  <si>
    <t>ex Sowar Hussain / SERIAL NUMBER NOT VALID</t>
  </si>
  <si>
    <t>Agreement with finance for iPad as main device. / 
PURCHASE DATE UNAVAILABLE</t>
  </si>
  <si>
    <t>ex Simon Richards/ Alison Tidman / Jan Mikulin
PURCHASE DATE UNAVAILABLE</t>
  </si>
  <si>
    <t>Ex Karan Tittresfiled / SERIAL NUMBER NOT VALID</t>
  </si>
  <si>
    <t>ex Evridki Kemanes / David Sieff
PURCHASE DATE UNAVAILABLE</t>
  </si>
  <si>
    <t>imei358718091742036 - icloud account - justin.pahl@vmlyr.com
SERIAL NUMBER NOT VALID</t>
  </si>
  <si>
    <t>EX David Sieff / SERIAL NUMBER NOT VALID</t>
  </si>
  <si>
    <t>ex Sarah Bakhaty / PURCHASE DATE UNAVAILABLE</t>
  </si>
  <si>
    <t>Ex  Paul Lawson / SERIAL NUMBER NOT VALID</t>
  </si>
  <si>
    <t>**Mojave 10.14.2** / SERIAL NUMBER NOT VALID</t>
  </si>
  <si>
    <t>Deployed - With Active User / SERIAL NUMBER NOT VALID</t>
  </si>
  <si>
    <t>ex Louis Valenzuela / SERIAL NUMBER NOT VALID</t>
  </si>
  <si>
    <t>ex Chiara Capitanio / SERIAL NUMBER NOT VALID</t>
  </si>
  <si>
    <t>ex Farhat Zaheer / SERIAL NUMBER NOT VALID</t>
  </si>
  <si>
    <t>ex Adam Masztalir / PURCHASE DATE UNAVAILABLE</t>
  </si>
  <si>
    <t>suspect LONGLHVML000092 (2) is this unit -- Asset tag missing
PURCHASE DATE UNAVAILABLE</t>
  </si>
  <si>
    <t>ex Keith Bone/ Tony Hewett / Samantha Bagg
PURCHASE DATE UNAVAILABLE</t>
  </si>
  <si>
    <t>ex Jon Sharpe / PURCHASE DATE UNAVAILABLE</t>
  </si>
  <si>
    <t>ex Chris Wood / PURCHASE DATE UNAVAILABLE</t>
  </si>
  <si>
    <t>Currently on Loan with Grant Gillard team ex Amey Gokran/  Joanna Oats / 
PURCHASE DATE UNAVAILABLE</t>
  </si>
  <si>
    <t>ex Christian Love / Thomas Goodhead/ Jessica riches
PURCHASE DATE UNAVAILABLE</t>
  </si>
  <si>
    <t>ex \Simon Pedersen / PURCHASE DATE UNAVAILABLE</t>
  </si>
  <si>
    <t>ex Emily Brownlow / PURCHASE DATE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</si>
</sst>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66666"/>
      <name val="Verdana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3" fillId="33" borderId="10" xfId="0" applyFont="1" applyFill="1" applyBorder="1"/>
    <xf numFmtId="49" fontId="0" fillId="34" borderId="10" xfId="0" applyNumberFormat="1" applyFill="1" applyBorder="1"/>
    <xf numFmtId="49" fontId="0" fillId="0" borderId="10" xfId="0" applyNumberFormat="1" applyBorder="1"/>
    <xf numFmtId="49" fontId="18" fillId="0" borderId="0" xfId="0" applyNumberFormat="1" applyFont="1" applyAlignment="1">
      <alignment horizontal="left"/>
    </xf>
    <xf numFmtId="0" fontId="18" fillId="0" borderId="0" xfId="0" applyFont="1"/>
    <xf numFmtId="49" fontId="18" fillId="0" borderId="11" xfId="0" applyNumberFormat="1" applyFont="1" applyBorder="1" applyAlignment="1">
      <alignment horizontal="left"/>
    </xf>
    <xf numFmtId="49" fontId="18" fillId="0" borderId="0" xfId="0" applyNumberFormat="1" applyFont="1"/>
    <xf numFmtId="0" fontId="19" fillId="0" borderId="0" xfId="0" applyFont="1"/>
    <xf numFmtId="0" fontId="18" fillId="0" borderId="0" xfId="0" applyFont="1" applyAlignment="1">
      <alignment horizontal="left"/>
    </xf>
    <xf numFmtId="0" fontId="18" fillId="35" borderId="0" xfId="0" applyFont="1" applyFill="1"/>
    <xf numFmtId="0" fontId="20" fillId="36" borderId="0" xfId="0" applyFont="1" applyFill="1"/>
    <xf numFmtId="0" fontId="18" fillId="36" borderId="0" xfId="0" applyFont="1" applyFill="1"/>
    <xf numFmtId="0" fontId="18" fillId="35" borderId="0" xfId="0" applyFont="1" applyFill="1" applyAlignment="1">
      <alignment horizontal="left"/>
    </xf>
    <xf numFmtId="0" fontId="21" fillId="35" borderId="0" xfId="0" applyFont="1" applyFill="1" applyAlignment="1">
      <alignment vertical="center"/>
    </xf>
    <xf numFmtId="1" fontId="18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18" fillId="0" borderId="0" xfId="0" quotePrefix="1" applyNumberFormat="1" applyFont="1" applyAlignment="1">
      <alignment horizontal="left"/>
    </xf>
    <xf numFmtId="0" fontId="22" fillId="35" borderId="0" xfId="0" applyFont="1" applyFill="1"/>
    <xf numFmtId="49" fontId="18" fillId="36" borderId="0" xfId="0" applyNumberFormat="1" applyFont="1" applyFill="1" applyAlignment="1">
      <alignment horizontal="left"/>
    </xf>
    <xf numFmtId="0" fontId="18" fillId="36" borderId="0" xfId="0" applyFont="1" applyFill="1" applyAlignment="1">
      <alignment horizontal="left"/>
    </xf>
    <xf numFmtId="49" fontId="0" fillId="36" borderId="0" xfId="0" applyNumberFormat="1" applyFill="1"/>
    <xf numFmtId="1" fontId="18" fillId="36" borderId="0" xfId="0" applyNumberFormat="1" applyFont="1" applyFill="1" applyAlignment="1">
      <alignment horizontal="left"/>
    </xf>
    <xf numFmtId="14" fontId="0" fillId="36" borderId="0" xfId="0" applyNumberFormat="1" applyFill="1"/>
    <xf numFmtId="0" fontId="0" fillId="36" borderId="0" xfId="0" applyFill="1"/>
    <xf numFmtId="0" fontId="22" fillId="0" borderId="0" xfId="0" applyFont="1"/>
    <xf numFmtId="0" fontId="18" fillId="37" borderId="0" xfId="0" applyFont="1" applyFill="1" applyAlignment="1">
      <alignment horizontal="left"/>
    </xf>
    <xf numFmtId="0" fontId="18" fillId="37" borderId="0" xfId="0" applyFont="1" applyFill="1"/>
    <xf numFmtId="0" fontId="18" fillId="37" borderId="11" xfId="0" applyFont="1" applyFill="1" applyBorder="1" applyAlignment="1">
      <alignment horizontal="left"/>
    </xf>
    <xf numFmtId="49" fontId="18" fillId="37" borderId="0" xfId="0" applyNumberFormat="1" applyFont="1" applyFill="1"/>
    <xf numFmtId="0" fontId="0" fillId="37" borderId="0" xfId="0" applyFill="1"/>
    <xf numFmtId="0" fontId="18" fillId="37" borderId="0" xfId="0" applyFont="1" applyFill="1" applyAlignment="1">
      <alignment horizontal="left" wrapText="1"/>
    </xf>
    <xf numFmtId="49" fontId="18" fillId="38" borderId="0" xfId="0" applyNumberFormat="1" applyFont="1" applyFill="1" applyAlignment="1">
      <alignment horizontal="left"/>
    </xf>
    <xf numFmtId="0" fontId="18" fillId="38" borderId="0" xfId="0" applyFont="1" applyFill="1" applyAlignment="1">
      <alignment horizontal="left"/>
    </xf>
    <xf numFmtId="49" fontId="0" fillId="38" borderId="0" xfId="0" applyNumberFormat="1" applyFill="1"/>
    <xf numFmtId="1" fontId="18" fillId="38" borderId="0" xfId="0" applyNumberFormat="1" applyFont="1" applyFill="1" applyAlignment="1">
      <alignment horizontal="left"/>
    </xf>
    <xf numFmtId="14" fontId="0" fillId="38" borderId="0" xfId="0" applyNumberFormat="1" applyFill="1"/>
    <xf numFmtId="0" fontId="18" fillId="38" borderId="0" xfId="0" applyFont="1" applyFill="1"/>
    <xf numFmtId="0" fontId="0" fillId="38" borderId="0" xfId="0" applyFill="1"/>
    <xf numFmtId="49" fontId="20" fillId="38" borderId="0" xfId="0" applyNumberFormat="1" applyFont="1" applyFill="1" applyAlignment="1">
      <alignment horizontal="left"/>
    </xf>
    <xf numFmtId="0" fontId="20" fillId="38" borderId="0" xfId="0" applyFont="1" applyFill="1" applyAlignment="1">
      <alignment horizontal="left"/>
    </xf>
    <xf numFmtId="49" fontId="23" fillId="38" borderId="0" xfId="0" applyNumberFormat="1" applyFont="1" applyFill="1"/>
    <xf numFmtId="1" fontId="20" fillId="38" borderId="0" xfId="0" applyNumberFormat="1" applyFont="1" applyFill="1" applyAlignment="1">
      <alignment horizontal="left"/>
    </xf>
    <xf numFmtId="14" fontId="23" fillId="38" borderId="0" xfId="0" applyNumberFormat="1" applyFont="1" applyFill="1"/>
    <xf numFmtId="0" fontId="20" fillId="38" borderId="0" xfId="0" applyFont="1" applyFill="1"/>
    <xf numFmtId="1" fontId="18" fillId="38" borderId="0" xfId="0" quotePrefix="1" applyNumberFormat="1" applyFont="1" applyFill="1" applyAlignment="1">
      <alignment horizontal="left"/>
    </xf>
    <xf numFmtId="49" fontId="18" fillId="38" borderId="0" xfId="0" applyNumberFormat="1" applyFont="1" applyFill="1"/>
    <xf numFmtId="0" fontId="21" fillId="38" borderId="0" xfId="0" applyFont="1" applyFill="1" applyAlignment="1">
      <alignment vertical="center"/>
    </xf>
    <xf numFmtId="0" fontId="18" fillId="38" borderId="0" xfId="0" applyFont="1" applyFill="1" applyAlignment="1">
      <alignment wrapText="1"/>
    </xf>
    <xf numFmtId="0" fontId="20" fillId="38" borderId="0" xfId="0" applyFont="1" applyFill="1" applyAlignment="1">
      <alignment wrapText="1"/>
    </xf>
    <xf numFmtId="0" fontId="18" fillId="0" borderId="0" xfId="0" applyFont="1" applyAlignment="1">
      <alignment wrapText="1"/>
    </xf>
    <xf numFmtId="49" fontId="18" fillId="0" borderId="0" xfId="0" applyNumberFormat="1" applyFont="1" applyAlignment="1">
      <alignment wrapText="1"/>
    </xf>
    <xf numFmtId="49" fontId="18" fillId="0" borderId="0" xfId="0" applyNumberFormat="1" applyFont="1" applyBorder="1" applyAlignment="1">
      <alignment horizontal="left"/>
    </xf>
    <xf numFmtId="0" fontId="18" fillId="0" borderId="11" xfId="0" applyFont="1" applyBorder="1"/>
    <xf numFmtId="49" fontId="18" fillId="38" borderId="11" xfId="0" applyNumberFormat="1" applyFont="1" applyFill="1" applyBorder="1" applyAlignment="1">
      <alignment horizontal="left"/>
    </xf>
    <xf numFmtId="0" fontId="18" fillId="37" borderId="0" xfId="0" applyFont="1" applyFill="1" applyBorder="1" applyAlignment="1">
      <alignment horizontal="left"/>
    </xf>
    <xf numFmtId="0" fontId="18" fillId="38" borderId="11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4"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 val="0"/>
        <i val="0"/>
        <color theme="1" tint="0.34998626667073579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 tint="-0.24994659260841701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theme="5"/>
      </font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5"/>
      </font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5"/>
      </font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theme="5"/>
      </font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5"/>
      </font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b/>
        <i val="0"/>
        <color theme="5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theme="5"/>
      </font>
    </dxf>
    <dxf>
      <font>
        <color theme="0"/>
      </font>
      <fill>
        <patternFill>
          <bgColor theme="5"/>
        </patternFill>
      </fill>
    </dxf>
    <dxf>
      <font>
        <b/>
        <i val="0"/>
        <color rgb="FF0070C0"/>
      </font>
      <fill>
        <patternFill>
          <bgColor theme="4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z val="12"/>
        <color rgb="FF000000"/>
      </font>
      <numFmt numFmtId="30" formatCode="@"/>
      <alignment horizontal="general" vertical="center" textRotation="0" wrapText="0" indent="0" justifyLastLine="0" shrinkToFit="0" readingOrder="0"/>
    </dxf>
    <dxf>
      <font>
        <sz val="12"/>
      </font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font>
        <sz val="12"/>
      </font>
      <numFmt numFmtId="30" formatCode="@"/>
      <alignment horizontal="general" vertical="bottom" textRotation="0" wrapText="0" indent="0" justifyLastLine="0" shrinkToFit="0" readingOrder="0"/>
    </dxf>
    <dxf>
      <font>
        <sz val="12"/>
      </font>
      <numFmt numFmtId="1" formatCode="0"/>
      <alignment horizontal="left" vertical="bottom" textRotation="0" wrapText="0" indent="0" justifyLastLine="0" shrinkToFit="0" readingOrder="0"/>
    </dxf>
    <dxf>
      <font>
        <sz val="12"/>
      </font>
      <numFmt numFmtId="30" formatCode="@"/>
      <fill>
        <patternFill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ont>
        <sz val="12"/>
      </font>
      <numFmt numFmtId="30" formatCode="@"/>
    </dxf>
    <dxf>
      <numFmt numFmtId="30" formatCode="@"/>
    </dxf>
    <dxf>
      <font>
        <sz val="12"/>
      </font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ppcorp-my.sharepoint.com/D:/Volumes/WundermanDFS/5.%20IT%20Finance%20Asset/WUN_WEM_Asset_Alloc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readsheet varible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VMLTEMPLATE_INVENTORY" displayName="Table_VMLTEMPLATE_INVENTORY" ref="A1:N169" totalsRowShown="0">
  <autoFilter ref="A1:N169" xr:uid="{00000000-0009-0000-0100-000001000000}">
    <filterColumn colId="3">
      <filters>
        <filter val="Apple"/>
      </filters>
    </filterColumn>
  </autoFilter>
  <sortState xmlns:xlrd2="http://schemas.microsoft.com/office/spreadsheetml/2017/richdata2" ref="A2:N165">
    <sortCondition descending="1" ref="J1:J169"/>
  </sortState>
  <tableColumns count="14">
    <tableColumn id="1" xr3:uid="{00000000-0010-0000-0000-000001000000}" name="Serial Number" dataDxfId="113"/>
    <tableColumn id="2" xr3:uid="{00000000-0010-0000-0000-000002000000}" name="Company" dataDxfId="112"/>
    <tableColumn id="3" xr3:uid="{00000000-0010-0000-0000-000003000000}" name="Computer Type" dataDxfId="111"/>
    <tableColumn id="4" xr3:uid="{00000000-0010-0000-0000-000004000000}" name="Brand" dataDxfId="110"/>
    <tableColumn id="5" xr3:uid="{00000000-0010-0000-0000-000005000000}" name="Model" dataDxfId="109"/>
    <tableColumn id="6" xr3:uid="{00000000-0010-0000-0000-000006000000}" name="Year" dataDxfId="108"/>
    <tableColumn id="7" xr3:uid="{00000000-0010-0000-0000-000007000000}" name="OpCo Asset Tag" dataDxfId="107"/>
    <tableColumn id="8" xr3:uid="{00000000-0010-0000-0000-000008000000}" name="Invoice Number" dataDxfId="106"/>
    <tableColumn id="9" xr3:uid="{00000000-0010-0000-0000-000009000000}" name="InvoiceDate" dataDxfId="105"/>
    <tableColumn id="10" xr3:uid="{00000000-0010-0000-0000-00000A000000}" name="State" dataDxfId="104"/>
    <tableColumn id="11" xr3:uid="{00000000-0010-0000-0000-00000B000000}" name="Comments" dataDxfId="103"/>
    <tableColumn id="12" xr3:uid="{00000000-0010-0000-0000-00000C000000}" name="Assigned to" dataDxfId="102"/>
    <tableColumn id="13" xr3:uid="{00000000-0010-0000-0000-00000D000000}" name="Column1" dataDxfId="101"/>
    <tableColumn id="14" xr3:uid="{00000000-0010-0000-0000-00000E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="85" zoomScaleNormal="85" workbookViewId="0">
      <selection activeCell="F18" sqref="F18"/>
    </sheetView>
  </sheetViews>
  <sheetFormatPr defaultColWidth="8.88671875" defaultRowHeight="14.4" x14ac:dyDescent="0.3"/>
  <cols>
    <col min="1" max="1" width="24.6640625" bestFit="1" customWidth="1"/>
    <col min="2" max="2" width="25.5546875" customWidth="1"/>
    <col min="3" max="3" width="17" customWidth="1"/>
    <col min="4" max="4" width="8.44140625" customWidth="1"/>
    <col min="5" max="5" width="54" customWidth="1"/>
    <col min="6" max="6" width="9.5546875" style="18" bestFit="1" customWidth="1"/>
    <col min="7" max="7" width="20.109375" bestFit="1" customWidth="1"/>
    <col min="8" max="8" width="17.44140625" customWidth="1"/>
    <col min="9" max="9" width="13.88671875" customWidth="1"/>
    <col min="11" max="11" width="49.88671875" customWidth="1"/>
    <col min="12" max="12" width="35" bestFit="1" customWidth="1"/>
    <col min="13" max="14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8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s="6" t="s">
        <v>14</v>
      </c>
      <c r="B2" s="7" t="s">
        <v>15</v>
      </c>
      <c r="C2" s="1" t="s">
        <v>16</v>
      </c>
      <c r="D2" s="11" t="s">
        <v>17</v>
      </c>
      <c r="E2" s="28" t="s">
        <v>412</v>
      </c>
      <c r="F2" s="17">
        <v>2020</v>
      </c>
      <c r="G2" s="11" t="s">
        <v>18</v>
      </c>
      <c r="H2" s="1"/>
      <c r="I2" s="2"/>
      <c r="J2" s="1" t="s">
        <v>19</v>
      </c>
      <c r="K2" s="7"/>
      <c r="L2" s="7" t="s">
        <v>20</v>
      </c>
    </row>
    <row r="3" spans="1:14" ht="15.6" hidden="1" x14ac:dyDescent="0.3">
      <c r="A3" s="7"/>
      <c r="B3" s="7"/>
      <c r="C3" s="1"/>
      <c r="D3" s="7"/>
      <c r="E3" s="29"/>
      <c r="F3" s="17"/>
      <c r="G3" s="7"/>
      <c r="H3" s="1"/>
      <c r="I3" s="2"/>
      <c r="J3" s="1" t="s">
        <v>434</v>
      </c>
      <c r="K3" s="7"/>
      <c r="L3" s="12" t="s">
        <v>21</v>
      </c>
    </row>
    <row r="4" spans="1:14" s="40" customFormat="1" ht="15.6" x14ac:dyDescent="0.3">
      <c r="A4" s="21" t="s">
        <v>38</v>
      </c>
      <c r="B4" s="22" t="s">
        <v>15</v>
      </c>
      <c r="C4" s="23" t="s">
        <v>16</v>
      </c>
      <c r="D4" s="22" t="s">
        <v>17</v>
      </c>
      <c r="E4" s="28" t="s">
        <v>418</v>
      </c>
      <c r="F4" s="17">
        <v>2017</v>
      </c>
      <c r="G4" s="22" t="s">
        <v>23</v>
      </c>
      <c r="H4" s="23"/>
      <c r="I4" s="25"/>
      <c r="J4" s="23" t="s">
        <v>19</v>
      </c>
      <c r="K4" s="7"/>
      <c r="L4" s="14" t="s">
        <v>39</v>
      </c>
      <c r="M4"/>
      <c r="N4"/>
    </row>
    <row r="5" spans="1:14" ht="15.6" x14ac:dyDescent="0.3">
      <c r="A5" s="6" t="s">
        <v>56</v>
      </c>
      <c r="B5" s="7" t="s">
        <v>15</v>
      </c>
      <c r="C5" s="1" t="s">
        <v>16</v>
      </c>
      <c r="D5" s="11" t="s">
        <v>17</v>
      </c>
      <c r="E5" s="28" t="s">
        <v>422</v>
      </c>
      <c r="F5" s="17">
        <v>2020</v>
      </c>
      <c r="G5" s="11" t="s">
        <v>18</v>
      </c>
      <c r="H5" s="1"/>
      <c r="I5" s="2"/>
      <c r="J5" s="1" t="s">
        <v>19</v>
      </c>
      <c r="K5" s="7"/>
      <c r="L5" s="7" t="s">
        <v>57</v>
      </c>
    </row>
    <row r="6" spans="1:14" ht="15.6" x14ac:dyDescent="0.3">
      <c r="A6" s="7" t="s">
        <v>58</v>
      </c>
      <c r="B6" s="7"/>
      <c r="C6" s="1" t="s">
        <v>16</v>
      </c>
      <c r="D6" s="9" t="s">
        <v>17</v>
      </c>
      <c r="E6" s="29" t="s">
        <v>422</v>
      </c>
      <c r="F6" s="17">
        <v>2019</v>
      </c>
      <c r="G6" s="7" t="s">
        <v>18</v>
      </c>
      <c r="H6" s="1"/>
      <c r="I6" s="2"/>
      <c r="J6" s="1" t="s">
        <v>19</v>
      </c>
      <c r="K6" s="7"/>
      <c r="L6" s="12" t="s">
        <v>59</v>
      </c>
    </row>
    <row r="7" spans="1:14" ht="15.6" x14ac:dyDescent="0.3">
      <c r="A7" s="8" t="s">
        <v>70</v>
      </c>
      <c r="B7" s="11" t="s">
        <v>15</v>
      </c>
      <c r="C7" s="1" t="s">
        <v>16</v>
      </c>
      <c r="D7" s="11" t="s">
        <v>17</v>
      </c>
      <c r="E7" s="28" t="s">
        <v>419</v>
      </c>
      <c r="F7" s="17">
        <v>2016</v>
      </c>
      <c r="G7" s="11" t="s">
        <v>61</v>
      </c>
      <c r="H7" s="1"/>
      <c r="I7" s="2"/>
      <c r="J7" s="1" t="s">
        <v>19</v>
      </c>
      <c r="K7" s="7" t="s">
        <v>71</v>
      </c>
      <c r="L7" s="7" t="s">
        <v>72</v>
      </c>
    </row>
    <row r="8" spans="1:14" ht="15.6" x14ac:dyDescent="0.3">
      <c r="A8" s="6" t="s">
        <v>79</v>
      </c>
      <c r="B8" s="11" t="s">
        <v>15</v>
      </c>
      <c r="C8" s="1" t="s">
        <v>16</v>
      </c>
      <c r="D8" s="11" t="s">
        <v>17</v>
      </c>
      <c r="E8" s="57" t="s">
        <v>425</v>
      </c>
      <c r="F8" s="17">
        <v>2018</v>
      </c>
      <c r="G8" s="11" t="s">
        <v>18</v>
      </c>
      <c r="H8" s="1"/>
      <c r="I8" s="2"/>
      <c r="J8" s="1" t="s">
        <v>19</v>
      </c>
      <c r="K8" s="11" t="s">
        <v>80</v>
      </c>
      <c r="L8" s="7" t="s">
        <v>81</v>
      </c>
    </row>
    <row r="9" spans="1:14" ht="15.6" x14ac:dyDescent="0.3">
      <c r="A9" s="6" t="s">
        <v>98</v>
      </c>
      <c r="B9" s="11" t="s">
        <v>15</v>
      </c>
      <c r="C9" s="1" t="s">
        <v>16</v>
      </c>
      <c r="D9" s="11" t="s">
        <v>17</v>
      </c>
      <c r="E9" s="28" t="s">
        <v>417</v>
      </c>
      <c r="F9" s="17">
        <v>2017</v>
      </c>
      <c r="G9" s="11" t="s">
        <v>18</v>
      </c>
      <c r="H9" s="1"/>
      <c r="I9" s="2"/>
      <c r="J9" s="1" t="s">
        <v>19</v>
      </c>
      <c r="K9" s="7"/>
      <c r="L9" s="7" t="s">
        <v>99</v>
      </c>
    </row>
    <row r="10" spans="1:14" ht="15.6" x14ac:dyDescent="0.3">
      <c r="A10" s="6" t="s">
        <v>107</v>
      </c>
      <c r="B10" s="11" t="s">
        <v>15</v>
      </c>
      <c r="C10" s="1" t="s">
        <v>16</v>
      </c>
      <c r="D10" s="11" t="s">
        <v>17</v>
      </c>
      <c r="E10" s="33" t="s">
        <v>426</v>
      </c>
      <c r="F10" s="17">
        <v>2017</v>
      </c>
      <c r="G10" s="11" t="s">
        <v>18</v>
      </c>
      <c r="H10" s="1"/>
      <c r="I10" s="2"/>
      <c r="J10" s="1" t="s">
        <v>19</v>
      </c>
      <c r="K10" s="7" t="s">
        <v>108</v>
      </c>
      <c r="L10" s="7" t="s">
        <v>109</v>
      </c>
    </row>
    <row r="11" spans="1:14" s="40" customFormat="1" ht="15.6" x14ac:dyDescent="0.3">
      <c r="A11" s="6" t="s">
        <v>136</v>
      </c>
      <c r="B11" s="11" t="s">
        <v>15</v>
      </c>
      <c r="C11" s="1" t="s">
        <v>16</v>
      </c>
      <c r="D11" s="11" t="s">
        <v>17</v>
      </c>
      <c r="E11" s="28" t="s">
        <v>427</v>
      </c>
      <c r="F11" s="17">
        <v>2019</v>
      </c>
      <c r="G11" s="11" t="s">
        <v>137</v>
      </c>
      <c r="H11" s="1"/>
      <c r="I11" s="2"/>
      <c r="J11" s="1" t="s">
        <v>19</v>
      </c>
      <c r="K11" s="7"/>
      <c r="L11" s="7" t="s">
        <v>138</v>
      </c>
      <c r="M11"/>
      <c r="N11"/>
    </row>
    <row r="12" spans="1:14" ht="15.6" x14ac:dyDescent="0.3">
      <c r="A12" s="6" t="s">
        <v>139</v>
      </c>
      <c r="B12" s="11" t="s">
        <v>15</v>
      </c>
      <c r="C12" s="1" t="s">
        <v>16</v>
      </c>
      <c r="D12" s="11" t="s">
        <v>17</v>
      </c>
      <c r="E12" s="28" t="s">
        <v>418</v>
      </c>
      <c r="F12" s="17">
        <v>2018</v>
      </c>
      <c r="G12" s="11" t="s">
        <v>140</v>
      </c>
      <c r="H12" s="1"/>
      <c r="I12" s="2"/>
      <c r="J12" s="1" t="s">
        <v>19</v>
      </c>
      <c r="K12" s="11" t="s">
        <v>141</v>
      </c>
      <c r="L12" s="7" t="s">
        <v>142</v>
      </c>
    </row>
    <row r="13" spans="1:14" ht="15.6" x14ac:dyDescent="0.3">
      <c r="A13" s="54" t="s">
        <v>162</v>
      </c>
      <c r="B13" s="11" t="s">
        <v>15</v>
      </c>
      <c r="C13" s="1" t="s">
        <v>16</v>
      </c>
      <c r="D13" s="11" t="s">
        <v>17</v>
      </c>
      <c r="E13" s="28" t="s">
        <v>417</v>
      </c>
      <c r="F13" s="17">
        <v>2017</v>
      </c>
      <c r="G13" s="11" t="s">
        <v>18</v>
      </c>
      <c r="H13" s="1"/>
      <c r="I13" s="2"/>
      <c r="J13" s="1" t="s">
        <v>19</v>
      </c>
      <c r="K13" s="7"/>
      <c r="L13" s="7" t="s">
        <v>163</v>
      </c>
    </row>
    <row r="14" spans="1:14" s="40" customFormat="1" ht="15.6" x14ac:dyDescent="0.3">
      <c r="A14" s="6" t="s">
        <v>176</v>
      </c>
      <c r="B14" s="11" t="s">
        <v>15</v>
      </c>
      <c r="C14" s="1" t="s">
        <v>16</v>
      </c>
      <c r="D14" s="11" t="s">
        <v>17</v>
      </c>
      <c r="E14" s="28" t="s">
        <v>419</v>
      </c>
      <c r="F14" s="17">
        <v>2015</v>
      </c>
      <c r="G14" s="11" t="s">
        <v>177</v>
      </c>
      <c r="H14" s="1"/>
      <c r="I14" s="2"/>
      <c r="J14" s="1" t="s">
        <v>19</v>
      </c>
      <c r="K14" s="7" t="s">
        <v>178</v>
      </c>
      <c r="L14" s="7" t="s">
        <v>179</v>
      </c>
      <c r="M14"/>
      <c r="N14"/>
    </row>
    <row r="15" spans="1:14" s="40" customFormat="1" ht="15.6" x14ac:dyDescent="0.3">
      <c r="A15" s="7" t="s">
        <v>209</v>
      </c>
      <c r="B15" s="7"/>
      <c r="C15" s="1" t="s">
        <v>16</v>
      </c>
      <c r="D15" s="9" t="s">
        <v>17</v>
      </c>
      <c r="E15" s="29" t="s">
        <v>417</v>
      </c>
      <c r="F15" s="17">
        <v>2018</v>
      </c>
      <c r="G15" s="7" t="s">
        <v>18</v>
      </c>
      <c r="H15" s="1"/>
      <c r="I15" s="2"/>
      <c r="J15" s="1" t="s">
        <v>19</v>
      </c>
      <c r="K15" s="7"/>
      <c r="L15" s="12" t="s">
        <v>210</v>
      </c>
      <c r="M15"/>
      <c r="N15"/>
    </row>
    <row r="16" spans="1:14" ht="15.6" x14ac:dyDescent="0.3">
      <c r="A16" s="6" t="s">
        <v>272</v>
      </c>
      <c r="B16" s="7" t="s">
        <v>269</v>
      </c>
      <c r="C16" s="1" t="s">
        <v>16</v>
      </c>
      <c r="D16" s="7" t="s">
        <v>17</v>
      </c>
      <c r="E16" s="28" t="s">
        <v>425</v>
      </c>
      <c r="F16" s="19">
        <v>2018</v>
      </c>
      <c r="G16" s="11" t="s">
        <v>61</v>
      </c>
      <c r="H16" s="1"/>
      <c r="I16" s="2"/>
      <c r="J16" s="1" t="s">
        <v>19</v>
      </c>
      <c r="K16" s="7"/>
      <c r="L16" s="14" t="s">
        <v>273</v>
      </c>
    </row>
    <row r="17" spans="1:14" ht="15.6" x14ac:dyDescent="0.3">
      <c r="A17" s="7" t="s">
        <v>291</v>
      </c>
      <c r="B17" s="7" t="s">
        <v>15</v>
      </c>
      <c r="C17" s="1" t="s">
        <v>16</v>
      </c>
      <c r="D17" s="9" t="s">
        <v>17</v>
      </c>
      <c r="E17" s="29" t="s">
        <v>425</v>
      </c>
      <c r="F17" s="17">
        <v>2017</v>
      </c>
      <c r="G17" s="7" t="s">
        <v>61</v>
      </c>
      <c r="H17" s="1"/>
      <c r="I17" s="2"/>
      <c r="J17" s="1" t="s">
        <v>19</v>
      </c>
      <c r="K17" s="7"/>
      <c r="L17" s="14" t="s">
        <v>292</v>
      </c>
    </row>
    <row r="18" spans="1:14" ht="15.6" x14ac:dyDescent="0.3">
      <c r="A18" s="6" t="s">
        <v>293</v>
      </c>
      <c r="B18" s="11" t="s">
        <v>15</v>
      </c>
      <c r="C18" s="1" t="s">
        <v>16</v>
      </c>
      <c r="D18" s="11" t="s">
        <v>17</v>
      </c>
      <c r="E18" s="28" t="s">
        <v>419</v>
      </c>
      <c r="F18" s="17">
        <v>2016</v>
      </c>
      <c r="G18" s="11" t="s">
        <v>177</v>
      </c>
      <c r="H18" s="1"/>
      <c r="I18" s="2"/>
      <c r="J18" s="1" t="s">
        <v>19</v>
      </c>
      <c r="K18" s="9" t="s">
        <v>294</v>
      </c>
      <c r="L18" s="7" t="s">
        <v>295</v>
      </c>
    </row>
    <row r="19" spans="1:14" ht="15.6" x14ac:dyDescent="0.3">
      <c r="A19" s="6" t="s">
        <v>306</v>
      </c>
      <c r="B19" s="7" t="s">
        <v>15</v>
      </c>
      <c r="C19" s="1" t="s">
        <v>16</v>
      </c>
      <c r="D19" s="11" t="s">
        <v>17</v>
      </c>
      <c r="E19" s="28" t="s">
        <v>307</v>
      </c>
      <c r="F19" s="17">
        <v>2019</v>
      </c>
      <c r="G19" s="11" t="s">
        <v>18</v>
      </c>
      <c r="H19" s="1"/>
      <c r="I19" s="2"/>
      <c r="J19" s="1" t="s">
        <v>19</v>
      </c>
      <c r="K19" s="7"/>
      <c r="L19" s="7" t="s">
        <v>308</v>
      </c>
    </row>
    <row r="20" spans="1:14" ht="15.6" x14ac:dyDescent="0.3">
      <c r="A20" s="6" t="s">
        <v>309</v>
      </c>
      <c r="B20" s="11" t="s">
        <v>15</v>
      </c>
      <c r="C20" s="1" t="s">
        <v>16</v>
      </c>
      <c r="D20" s="11" t="s">
        <v>17</v>
      </c>
      <c r="E20" s="30" t="s">
        <v>419</v>
      </c>
      <c r="F20" s="17">
        <v>2015</v>
      </c>
      <c r="G20" s="11" t="s">
        <v>177</v>
      </c>
      <c r="H20" s="1"/>
      <c r="I20" s="2"/>
      <c r="J20" s="1" t="s">
        <v>19</v>
      </c>
      <c r="K20" s="7" t="s">
        <v>310</v>
      </c>
      <c r="L20" s="7" t="s">
        <v>311</v>
      </c>
    </row>
    <row r="21" spans="1:14" ht="15.6" x14ac:dyDescent="0.3">
      <c r="A21" s="6" t="s">
        <v>314</v>
      </c>
      <c r="B21" s="11" t="s">
        <v>15</v>
      </c>
      <c r="C21" s="1" t="s">
        <v>16</v>
      </c>
      <c r="D21" s="11" t="s">
        <v>17</v>
      </c>
      <c r="E21" s="28" t="s">
        <v>431</v>
      </c>
      <c r="F21" s="17">
        <v>2018</v>
      </c>
      <c r="G21" s="11" t="s">
        <v>18</v>
      </c>
      <c r="H21" s="1"/>
      <c r="I21" s="2"/>
      <c r="J21" s="1" t="s">
        <v>19</v>
      </c>
      <c r="K21" s="7"/>
      <c r="L21" s="7" t="s">
        <v>315</v>
      </c>
    </row>
    <row r="22" spans="1:14" s="40" customFormat="1" ht="15.6" x14ac:dyDescent="0.3">
      <c r="A22" s="6" t="s">
        <v>336</v>
      </c>
      <c r="B22" s="11" t="s">
        <v>15</v>
      </c>
      <c r="C22" s="1" t="s">
        <v>16</v>
      </c>
      <c r="D22" s="11" t="s">
        <v>17</v>
      </c>
      <c r="E22" s="28" t="s">
        <v>418</v>
      </c>
      <c r="F22" s="17">
        <v>2018</v>
      </c>
      <c r="G22" s="11" t="s">
        <v>61</v>
      </c>
      <c r="H22" s="1"/>
      <c r="I22" s="2"/>
      <c r="J22" s="1" t="s">
        <v>19</v>
      </c>
      <c r="K22" s="7"/>
      <c r="L22" s="7" t="s">
        <v>337</v>
      </c>
      <c r="M22"/>
      <c r="N22"/>
    </row>
    <row r="23" spans="1:14" s="40" customFormat="1" ht="15.6" x14ac:dyDescent="0.3">
      <c r="A23" s="6" t="s">
        <v>350</v>
      </c>
      <c r="B23" s="11" t="s">
        <v>15</v>
      </c>
      <c r="C23" s="1" t="s">
        <v>16</v>
      </c>
      <c r="D23" s="11" t="s">
        <v>17</v>
      </c>
      <c r="E23" s="28" t="s">
        <v>425</v>
      </c>
      <c r="F23" s="17">
        <v>2018</v>
      </c>
      <c r="G23" s="11" t="s">
        <v>61</v>
      </c>
      <c r="H23" s="1"/>
      <c r="I23" s="2"/>
      <c r="J23" s="1" t="s">
        <v>19</v>
      </c>
      <c r="K23" s="7" t="s">
        <v>351</v>
      </c>
      <c r="L23" s="7" t="s">
        <v>352</v>
      </c>
      <c r="M23"/>
      <c r="N23"/>
    </row>
    <row r="24" spans="1:14" ht="15.6" x14ac:dyDescent="0.3">
      <c r="A24" s="7" t="s">
        <v>376</v>
      </c>
      <c r="B24" s="7" t="s">
        <v>361</v>
      </c>
      <c r="C24" s="1" t="s">
        <v>16</v>
      </c>
      <c r="D24" s="7" t="s">
        <v>17</v>
      </c>
      <c r="E24" s="28" t="s">
        <v>414</v>
      </c>
      <c r="F24" s="17">
        <v>2017</v>
      </c>
      <c r="G24" s="7" t="s">
        <v>61</v>
      </c>
      <c r="H24" s="1"/>
      <c r="I24" s="2"/>
      <c r="J24" s="1" t="s">
        <v>19</v>
      </c>
      <c r="K24" s="7"/>
      <c r="L24" s="16"/>
    </row>
    <row r="25" spans="1:14" s="40" customFormat="1" ht="15.6" x14ac:dyDescent="0.3">
      <c r="A25" s="7" t="s">
        <v>377</v>
      </c>
      <c r="B25" s="7" t="s">
        <v>361</v>
      </c>
      <c r="C25" s="1" t="s">
        <v>16</v>
      </c>
      <c r="D25" s="7" t="s">
        <v>17</v>
      </c>
      <c r="E25" s="28" t="s">
        <v>413</v>
      </c>
      <c r="F25" s="17">
        <v>2016</v>
      </c>
      <c r="G25" s="7" t="s">
        <v>378</v>
      </c>
      <c r="H25" s="1"/>
      <c r="I25" s="2"/>
      <c r="J25" s="1" t="s">
        <v>19</v>
      </c>
      <c r="K25" s="7"/>
      <c r="L25" s="16"/>
      <c r="M25"/>
      <c r="N25"/>
    </row>
    <row r="26" spans="1:14" ht="15.6" x14ac:dyDescent="0.3">
      <c r="A26" s="7" t="s">
        <v>379</v>
      </c>
      <c r="B26" s="7" t="s">
        <v>361</v>
      </c>
      <c r="C26" s="1" t="s">
        <v>16</v>
      </c>
      <c r="D26" s="7" t="s">
        <v>17</v>
      </c>
      <c r="E26" s="28" t="s">
        <v>432</v>
      </c>
      <c r="F26" s="17">
        <v>2019</v>
      </c>
      <c r="G26" s="7" t="s">
        <v>18</v>
      </c>
      <c r="H26" s="1"/>
      <c r="I26" s="2"/>
      <c r="J26" s="1" t="s">
        <v>19</v>
      </c>
      <c r="K26" s="7"/>
      <c r="L26" s="16"/>
    </row>
    <row r="27" spans="1:14" ht="15.6" x14ac:dyDescent="0.3">
      <c r="A27" s="55" t="s">
        <v>397</v>
      </c>
      <c r="B27" s="7" t="s">
        <v>15</v>
      </c>
      <c r="C27" s="1" t="s">
        <v>16</v>
      </c>
      <c r="D27" s="7" t="s">
        <v>17</v>
      </c>
      <c r="E27" s="29" t="s">
        <v>433</v>
      </c>
      <c r="F27" s="17">
        <v>2017</v>
      </c>
      <c r="G27" s="7" t="s">
        <v>61</v>
      </c>
      <c r="H27" s="1"/>
      <c r="I27" s="2"/>
      <c r="J27" s="1" t="s">
        <v>19</v>
      </c>
      <c r="K27" s="7"/>
      <c r="L27" s="16"/>
    </row>
    <row r="28" spans="1:14" ht="15.6" x14ac:dyDescent="0.3">
      <c r="A28" s="34" t="s">
        <v>22</v>
      </c>
      <c r="B28" s="35" t="s">
        <v>15</v>
      </c>
      <c r="C28" s="36" t="s">
        <v>16</v>
      </c>
      <c r="D28" s="35" t="s">
        <v>17</v>
      </c>
      <c r="E28" s="58" t="s">
        <v>415</v>
      </c>
      <c r="F28" s="37"/>
      <c r="G28" s="35" t="s">
        <v>23</v>
      </c>
      <c r="H28" s="36"/>
      <c r="I28" s="38"/>
      <c r="J28" s="36"/>
      <c r="K28" s="39" t="s">
        <v>435</v>
      </c>
      <c r="L28" s="39" t="s">
        <v>24</v>
      </c>
      <c r="M28" s="40"/>
      <c r="N28" s="40"/>
    </row>
    <row r="29" spans="1:14" ht="15.6" hidden="1" x14ac:dyDescent="0.3">
      <c r="A29" s="6" t="s">
        <v>82</v>
      </c>
      <c r="B29" s="11" t="s">
        <v>15</v>
      </c>
      <c r="C29" s="1" t="s">
        <v>83</v>
      </c>
      <c r="D29" s="11" t="s">
        <v>84</v>
      </c>
      <c r="E29" s="28" t="s">
        <v>85</v>
      </c>
      <c r="F29" s="17"/>
      <c r="G29" s="11"/>
      <c r="H29" s="1"/>
      <c r="I29" s="2"/>
      <c r="J29" s="1"/>
      <c r="K29" s="12" t="s">
        <v>86</v>
      </c>
      <c r="L29" s="7" t="s">
        <v>87</v>
      </c>
    </row>
    <row r="30" spans="1:14" s="40" customFormat="1" ht="15.6" x14ac:dyDescent="0.3">
      <c r="A30" s="6" t="s">
        <v>25</v>
      </c>
      <c r="B30" s="11" t="s">
        <v>15</v>
      </c>
      <c r="C30" s="1" t="s">
        <v>16</v>
      </c>
      <c r="D30" s="11" t="s">
        <v>17</v>
      </c>
      <c r="E30" s="28" t="s">
        <v>414</v>
      </c>
      <c r="F30" s="17" t="s">
        <v>440</v>
      </c>
      <c r="G30" s="11" t="s">
        <v>18</v>
      </c>
      <c r="H30" s="1"/>
      <c r="I30" s="2"/>
      <c r="J30" s="1"/>
      <c r="K30" s="7" t="s">
        <v>436</v>
      </c>
      <c r="L30" s="7" t="s">
        <v>26</v>
      </c>
      <c r="M30"/>
      <c r="N30"/>
    </row>
    <row r="31" spans="1:14" s="40" customFormat="1" ht="15.6" x14ac:dyDescent="0.3">
      <c r="A31" s="7" t="s">
        <v>27</v>
      </c>
      <c r="B31" s="7" t="s">
        <v>15</v>
      </c>
      <c r="C31" s="1" t="s">
        <v>16</v>
      </c>
      <c r="D31" s="9" t="s">
        <v>17</v>
      </c>
      <c r="E31" s="29" t="s">
        <v>413</v>
      </c>
      <c r="F31" s="17" t="s">
        <v>440</v>
      </c>
      <c r="G31" s="7" t="s">
        <v>28</v>
      </c>
      <c r="H31" s="1"/>
      <c r="I31" s="2"/>
      <c r="J31" s="1"/>
      <c r="K31" s="7" t="s">
        <v>437</v>
      </c>
      <c r="L31" s="14" t="s">
        <v>29</v>
      </c>
      <c r="M31"/>
      <c r="N31"/>
    </row>
    <row r="32" spans="1:14" s="40" customFormat="1" ht="46.8" x14ac:dyDescent="0.3">
      <c r="A32" s="54" t="s">
        <v>30</v>
      </c>
      <c r="B32" s="11" t="s">
        <v>31</v>
      </c>
      <c r="C32" s="1" t="s">
        <v>16</v>
      </c>
      <c r="D32" s="11" t="s">
        <v>17</v>
      </c>
      <c r="E32" s="28" t="s">
        <v>416</v>
      </c>
      <c r="F32" s="17" t="s">
        <v>440</v>
      </c>
      <c r="G32" s="11" t="s">
        <v>32</v>
      </c>
      <c r="H32" s="1"/>
      <c r="I32" s="2"/>
      <c r="J32" s="1"/>
      <c r="K32" s="11" t="s">
        <v>438</v>
      </c>
      <c r="L32" s="7" t="s">
        <v>33</v>
      </c>
      <c r="M32"/>
      <c r="N32"/>
    </row>
    <row r="33" spans="1:14" ht="15.6" x14ac:dyDescent="0.3">
      <c r="A33" s="6" t="s">
        <v>34</v>
      </c>
      <c r="B33" s="11" t="s">
        <v>15</v>
      </c>
      <c r="C33" s="1" t="s">
        <v>16</v>
      </c>
      <c r="D33" s="11" t="s">
        <v>17</v>
      </c>
      <c r="E33" s="28" t="s">
        <v>417</v>
      </c>
      <c r="F33" s="17" t="s">
        <v>440</v>
      </c>
      <c r="G33" s="11" t="s">
        <v>18</v>
      </c>
      <c r="H33" s="1"/>
      <c r="I33" s="2"/>
      <c r="J33" s="1"/>
      <c r="K33" s="7" t="s">
        <v>437</v>
      </c>
      <c r="L33" s="7" t="s">
        <v>35</v>
      </c>
    </row>
    <row r="34" spans="1:14" ht="15.6" x14ac:dyDescent="0.3">
      <c r="A34" s="6" t="s">
        <v>36</v>
      </c>
      <c r="B34" s="11" t="s">
        <v>15</v>
      </c>
      <c r="C34" s="1" t="s">
        <v>16</v>
      </c>
      <c r="D34" s="11" t="s">
        <v>17</v>
      </c>
      <c r="E34" s="28" t="s">
        <v>416</v>
      </c>
      <c r="F34" s="17" t="s">
        <v>440</v>
      </c>
      <c r="G34" s="11" t="s">
        <v>32</v>
      </c>
      <c r="H34" s="1"/>
      <c r="I34" s="2"/>
      <c r="J34" s="1"/>
      <c r="K34" s="11" t="s">
        <v>439</v>
      </c>
      <c r="L34" s="7" t="s">
        <v>37</v>
      </c>
    </row>
    <row r="35" spans="1:14" ht="15.6" x14ac:dyDescent="0.3">
      <c r="A35" s="34" t="s">
        <v>40</v>
      </c>
      <c r="B35" s="35" t="s">
        <v>15</v>
      </c>
      <c r="C35" s="36" t="s">
        <v>16</v>
      </c>
      <c r="D35" s="35" t="s">
        <v>17</v>
      </c>
      <c r="E35" s="35" t="s">
        <v>415</v>
      </c>
      <c r="F35" s="37"/>
      <c r="G35" s="35" t="s">
        <v>23</v>
      </c>
      <c r="H35" s="36"/>
      <c r="I35" s="38"/>
      <c r="J35" s="36"/>
      <c r="K35" s="39" t="s">
        <v>441</v>
      </c>
      <c r="L35" s="39" t="s">
        <v>41</v>
      </c>
      <c r="M35" s="40"/>
      <c r="N35" s="40"/>
    </row>
    <row r="36" spans="1:14" s="40" customFormat="1" ht="15.6" x14ac:dyDescent="0.3">
      <c r="A36" s="6" t="s">
        <v>42</v>
      </c>
      <c r="B36" s="11" t="s">
        <v>15</v>
      </c>
      <c r="C36" s="1" t="s">
        <v>16</v>
      </c>
      <c r="D36" s="11" t="s">
        <v>17</v>
      </c>
      <c r="E36" s="28" t="s">
        <v>419</v>
      </c>
      <c r="F36" s="17" t="s">
        <v>440</v>
      </c>
      <c r="G36" s="11" t="s">
        <v>43</v>
      </c>
      <c r="H36" s="1"/>
      <c r="I36" s="2"/>
      <c r="J36" s="1"/>
      <c r="K36" s="7" t="s">
        <v>437</v>
      </c>
      <c r="L36" s="7" t="s">
        <v>44</v>
      </c>
      <c r="M36"/>
      <c r="N36"/>
    </row>
    <row r="37" spans="1:14" ht="15.6" x14ac:dyDescent="0.3">
      <c r="A37" s="6" t="s">
        <v>45</v>
      </c>
      <c r="B37" s="11" t="s">
        <v>15</v>
      </c>
      <c r="C37" s="1" t="s">
        <v>46</v>
      </c>
      <c r="D37" s="11" t="s">
        <v>17</v>
      </c>
      <c r="E37" s="28" t="s">
        <v>420</v>
      </c>
      <c r="F37" s="17" t="s">
        <v>440</v>
      </c>
      <c r="G37" s="11"/>
      <c r="H37" s="1"/>
      <c r="I37" s="2">
        <f>SUBTOTAL(109,I26:I36)</f>
        <v>0</v>
      </c>
      <c r="J37" s="1"/>
      <c r="K37" s="7" t="s">
        <v>442</v>
      </c>
      <c r="L37" s="7" t="s">
        <v>47</v>
      </c>
    </row>
    <row r="38" spans="1:14" ht="15.6" hidden="1" x14ac:dyDescent="0.3">
      <c r="A38" s="7"/>
      <c r="B38" s="7"/>
      <c r="C38" s="1"/>
      <c r="D38" s="7"/>
      <c r="E38" s="29"/>
      <c r="F38" s="17"/>
      <c r="G38" s="7"/>
      <c r="H38" s="1"/>
      <c r="I38" s="2"/>
      <c r="J38" s="1"/>
      <c r="K38" s="7"/>
      <c r="L38" s="12" t="s">
        <v>106</v>
      </c>
    </row>
    <row r="39" spans="1:14" ht="31.2" x14ac:dyDescent="0.3">
      <c r="A39" s="34" t="s">
        <v>48</v>
      </c>
      <c r="B39" s="35" t="s">
        <v>15</v>
      </c>
      <c r="C39" s="36" t="s">
        <v>16</v>
      </c>
      <c r="D39" s="35" t="s">
        <v>17</v>
      </c>
      <c r="E39" s="35" t="s">
        <v>415</v>
      </c>
      <c r="F39" s="37"/>
      <c r="G39" s="35" t="s">
        <v>23</v>
      </c>
      <c r="H39" s="36"/>
      <c r="I39" s="38"/>
      <c r="J39" s="36"/>
      <c r="K39" s="39" t="s">
        <v>443</v>
      </c>
      <c r="L39" s="39" t="s">
        <v>49</v>
      </c>
      <c r="M39" s="40"/>
      <c r="N39" s="40"/>
    </row>
    <row r="40" spans="1:14" ht="31.2" x14ac:dyDescent="0.3">
      <c r="A40" s="34" t="s">
        <v>50</v>
      </c>
      <c r="B40" s="35" t="s">
        <v>15</v>
      </c>
      <c r="C40" s="36" t="s">
        <v>16</v>
      </c>
      <c r="D40" s="35" t="s">
        <v>17</v>
      </c>
      <c r="E40" s="35" t="s">
        <v>415</v>
      </c>
      <c r="F40" s="37"/>
      <c r="G40" s="35" t="s">
        <v>18</v>
      </c>
      <c r="H40" s="36"/>
      <c r="I40" s="38"/>
      <c r="J40" s="36"/>
      <c r="K40" s="39" t="s">
        <v>444</v>
      </c>
      <c r="L40" s="39" t="s">
        <v>51</v>
      </c>
      <c r="M40" s="40"/>
      <c r="N40" s="40"/>
    </row>
    <row r="41" spans="1:14" ht="15.6" x14ac:dyDescent="0.3">
      <c r="A41" s="6" t="s">
        <v>52</v>
      </c>
      <c r="B41" s="11" t="s">
        <v>15</v>
      </c>
      <c r="C41" s="1" t="s">
        <v>16</v>
      </c>
      <c r="D41" s="11" t="s">
        <v>17</v>
      </c>
      <c r="E41" s="30" t="s">
        <v>421</v>
      </c>
      <c r="F41" s="17" t="s">
        <v>440</v>
      </c>
      <c r="G41" s="11"/>
      <c r="H41" s="1"/>
      <c r="I41" s="2"/>
      <c r="J41" s="1"/>
      <c r="K41" s="7" t="s">
        <v>437</v>
      </c>
      <c r="L41" s="7" t="s">
        <v>53</v>
      </c>
    </row>
    <row r="42" spans="1:14" s="40" customFormat="1" ht="31.2" x14ac:dyDescent="0.3">
      <c r="A42" s="6" t="s">
        <v>54</v>
      </c>
      <c r="B42" s="7" t="s">
        <v>15</v>
      </c>
      <c r="C42" s="1" t="s">
        <v>16</v>
      </c>
      <c r="D42" s="11" t="s">
        <v>17</v>
      </c>
      <c r="E42" s="28" t="s">
        <v>412</v>
      </c>
      <c r="F42" s="17" t="s">
        <v>440</v>
      </c>
      <c r="G42" s="11" t="s">
        <v>18</v>
      </c>
      <c r="H42" s="1"/>
      <c r="I42" s="2"/>
      <c r="J42" s="1"/>
      <c r="K42" s="7" t="s">
        <v>437</v>
      </c>
      <c r="L42" s="7" t="s">
        <v>55</v>
      </c>
      <c r="M42"/>
      <c r="N42"/>
    </row>
    <row r="43" spans="1:14" ht="31.2" x14ac:dyDescent="0.3">
      <c r="A43" s="6" t="s">
        <v>60</v>
      </c>
      <c r="B43" s="11" t="s">
        <v>15</v>
      </c>
      <c r="C43" s="1" t="s">
        <v>16</v>
      </c>
      <c r="D43" s="11" t="s">
        <v>17</v>
      </c>
      <c r="E43" s="57" t="s">
        <v>423</v>
      </c>
      <c r="F43" s="17" t="s">
        <v>440</v>
      </c>
      <c r="G43" s="11" t="s">
        <v>61</v>
      </c>
      <c r="H43" s="1"/>
      <c r="I43" s="2"/>
      <c r="J43" s="1"/>
      <c r="K43" s="7" t="s">
        <v>437</v>
      </c>
      <c r="L43" s="7" t="s">
        <v>62</v>
      </c>
    </row>
    <row r="44" spans="1:14" s="40" customFormat="1" ht="15.6" x14ac:dyDescent="0.3">
      <c r="A44" s="7" t="s">
        <v>63</v>
      </c>
      <c r="B44" s="7"/>
      <c r="C44" s="1" t="s">
        <v>16</v>
      </c>
      <c r="D44" s="9" t="s">
        <v>17</v>
      </c>
      <c r="E44" s="29" t="s">
        <v>416</v>
      </c>
      <c r="F44" s="17" t="s">
        <v>440</v>
      </c>
      <c r="G44" s="7" t="s">
        <v>64</v>
      </c>
      <c r="H44" s="1"/>
      <c r="I44" s="2"/>
      <c r="J44" s="1"/>
      <c r="K44" s="7" t="s">
        <v>437</v>
      </c>
      <c r="L44" s="12" t="s">
        <v>65</v>
      </c>
      <c r="M44"/>
      <c r="N44"/>
    </row>
    <row r="45" spans="1:14" s="40" customFormat="1" ht="15.6" x14ac:dyDescent="0.3">
      <c r="A45" s="34" t="s">
        <v>66</v>
      </c>
      <c r="B45" s="35" t="s">
        <v>15</v>
      </c>
      <c r="C45" s="36" t="s">
        <v>16</v>
      </c>
      <c r="D45" s="35" t="s">
        <v>17</v>
      </c>
      <c r="E45" s="35" t="s">
        <v>415</v>
      </c>
      <c r="F45" s="37"/>
      <c r="G45" s="35" t="s">
        <v>23</v>
      </c>
      <c r="H45" s="36"/>
      <c r="I45" s="38"/>
      <c r="J45" s="36"/>
      <c r="K45" s="39" t="s">
        <v>435</v>
      </c>
      <c r="L45" s="39" t="s">
        <v>67</v>
      </c>
    </row>
    <row r="46" spans="1:14" ht="15.6" x14ac:dyDescent="0.3">
      <c r="A46" s="34" t="s">
        <v>68</v>
      </c>
      <c r="B46" s="35" t="s">
        <v>15</v>
      </c>
      <c r="C46" s="36" t="s">
        <v>16</v>
      </c>
      <c r="D46" s="35" t="s">
        <v>17</v>
      </c>
      <c r="E46" s="35" t="s">
        <v>415</v>
      </c>
      <c r="F46" s="37"/>
      <c r="G46" s="35" t="s">
        <v>23</v>
      </c>
      <c r="H46" s="36"/>
      <c r="I46" s="38"/>
      <c r="J46" s="36"/>
      <c r="K46" s="39" t="s">
        <v>435</v>
      </c>
      <c r="L46" s="39" t="s">
        <v>69</v>
      </c>
      <c r="M46" s="40"/>
      <c r="N46" s="40"/>
    </row>
    <row r="47" spans="1:14" s="40" customFormat="1" ht="15.6" x14ac:dyDescent="0.3">
      <c r="A47" s="34" t="s">
        <v>73</v>
      </c>
      <c r="B47" s="35" t="s">
        <v>15</v>
      </c>
      <c r="C47" s="36" t="s">
        <v>16</v>
      </c>
      <c r="D47" s="35" t="s">
        <v>17</v>
      </c>
      <c r="E47" s="35" t="s">
        <v>415</v>
      </c>
      <c r="F47" s="37"/>
      <c r="G47" s="35" t="s">
        <v>23</v>
      </c>
      <c r="H47" s="36"/>
      <c r="I47" s="38"/>
      <c r="J47" s="36"/>
      <c r="K47" s="39" t="s">
        <v>435</v>
      </c>
      <c r="L47" s="39" t="s">
        <v>74</v>
      </c>
    </row>
    <row r="48" spans="1:14" s="40" customFormat="1" ht="15.6" x14ac:dyDescent="0.3">
      <c r="A48" s="7" t="s">
        <v>75</v>
      </c>
      <c r="B48" s="7"/>
      <c r="C48" s="1" t="s">
        <v>16</v>
      </c>
      <c r="D48" s="9" t="s">
        <v>17</v>
      </c>
      <c r="E48" s="29" t="s">
        <v>414</v>
      </c>
      <c r="F48" s="17" t="s">
        <v>440</v>
      </c>
      <c r="G48" s="7" t="s">
        <v>18</v>
      </c>
      <c r="H48" s="1"/>
      <c r="I48" s="2"/>
      <c r="J48" s="1"/>
      <c r="K48" s="7" t="s">
        <v>437</v>
      </c>
      <c r="L48" s="7" t="s">
        <v>76</v>
      </c>
      <c r="M48"/>
      <c r="N48"/>
    </row>
    <row r="49" spans="1:14" ht="15.6" x14ac:dyDescent="0.3">
      <c r="A49" s="54" t="s">
        <v>77</v>
      </c>
      <c r="B49" s="11" t="s">
        <v>15</v>
      </c>
      <c r="C49" s="1" t="s">
        <v>16</v>
      </c>
      <c r="D49" s="11" t="s">
        <v>17</v>
      </c>
      <c r="E49" s="28" t="s">
        <v>424</v>
      </c>
      <c r="F49" s="17" t="s">
        <v>440</v>
      </c>
      <c r="G49" s="11" t="s">
        <v>18</v>
      </c>
      <c r="H49" s="1"/>
      <c r="I49" s="2"/>
      <c r="J49" s="1"/>
      <c r="K49" s="7" t="s">
        <v>437</v>
      </c>
      <c r="L49" s="7" t="s">
        <v>78</v>
      </c>
    </row>
    <row r="50" spans="1:14" ht="15.6" x14ac:dyDescent="0.3">
      <c r="A50" s="34" t="s">
        <v>88</v>
      </c>
      <c r="B50" s="35" t="s">
        <v>15</v>
      </c>
      <c r="C50" s="36" t="s">
        <v>16</v>
      </c>
      <c r="D50" s="35" t="s">
        <v>17</v>
      </c>
      <c r="E50" s="35" t="s">
        <v>415</v>
      </c>
      <c r="F50" s="37"/>
      <c r="G50" s="35" t="s">
        <v>89</v>
      </c>
      <c r="H50" s="36"/>
      <c r="I50" s="38"/>
      <c r="J50" s="36"/>
      <c r="K50" s="39" t="s">
        <v>435</v>
      </c>
      <c r="L50" s="39" t="s">
        <v>90</v>
      </c>
      <c r="M50" s="40"/>
      <c r="N50" s="40"/>
    </row>
    <row r="51" spans="1:14" s="40" customFormat="1" ht="15.6" x14ac:dyDescent="0.3">
      <c r="A51" s="34" t="s">
        <v>91</v>
      </c>
      <c r="B51" s="35" t="s">
        <v>15</v>
      </c>
      <c r="C51" s="36" t="s">
        <v>16</v>
      </c>
      <c r="D51" s="35" t="s">
        <v>17</v>
      </c>
      <c r="E51" s="35" t="s">
        <v>415</v>
      </c>
      <c r="F51" s="37"/>
      <c r="G51" s="35" t="s">
        <v>92</v>
      </c>
      <c r="H51" s="36"/>
      <c r="I51" s="38"/>
      <c r="J51" s="36"/>
      <c r="K51" s="39" t="s">
        <v>445</v>
      </c>
      <c r="L51" s="39" t="s">
        <v>93</v>
      </c>
    </row>
    <row r="52" spans="1:14" s="40" customFormat="1" ht="15.6" x14ac:dyDescent="0.3">
      <c r="A52" s="34" t="s">
        <v>94</v>
      </c>
      <c r="B52" s="35" t="s">
        <v>15</v>
      </c>
      <c r="C52" s="36" t="s">
        <v>16</v>
      </c>
      <c r="D52" s="35" t="s">
        <v>17</v>
      </c>
      <c r="E52" s="35" t="s">
        <v>415</v>
      </c>
      <c r="F52" s="37"/>
      <c r="G52" s="35" t="s">
        <v>23</v>
      </c>
      <c r="H52" s="36"/>
      <c r="I52" s="38"/>
      <c r="J52" s="36"/>
      <c r="K52" s="50" t="s">
        <v>446</v>
      </c>
      <c r="L52" s="39" t="s">
        <v>95</v>
      </c>
    </row>
    <row r="53" spans="1:14" s="40" customFormat="1" ht="15.6" x14ac:dyDescent="0.3">
      <c r="A53" s="6" t="s">
        <v>96</v>
      </c>
      <c r="B53" s="7" t="s">
        <v>15</v>
      </c>
      <c r="C53" s="1" t="s">
        <v>16</v>
      </c>
      <c r="D53" s="11" t="s">
        <v>17</v>
      </c>
      <c r="E53" s="28" t="s">
        <v>412</v>
      </c>
      <c r="F53" s="17" t="s">
        <v>440</v>
      </c>
      <c r="G53" s="11" t="s">
        <v>18</v>
      </c>
      <c r="H53" s="1"/>
      <c r="I53" s="2"/>
      <c r="J53" s="1"/>
      <c r="K53" s="7" t="s">
        <v>437</v>
      </c>
      <c r="L53" s="7" t="s">
        <v>97</v>
      </c>
      <c r="M53"/>
      <c r="N53"/>
    </row>
    <row r="54" spans="1:14" ht="15.6" hidden="1" x14ac:dyDescent="0.3">
      <c r="A54" s="6" t="s">
        <v>151</v>
      </c>
      <c r="B54" s="11" t="s">
        <v>15</v>
      </c>
      <c r="C54" s="1" t="s">
        <v>83</v>
      </c>
      <c r="D54" s="11" t="s">
        <v>152</v>
      </c>
      <c r="E54" s="28" t="s">
        <v>153</v>
      </c>
      <c r="F54" s="17"/>
      <c r="G54" s="11" t="s">
        <v>154</v>
      </c>
      <c r="H54" s="1"/>
      <c r="I54" s="2"/>
      <c r="J54" s="1"/>
      <c r="K54" s="7" t="s">
        <v>155</v>
      </c>
      <c r="L54" s="7" t="s">
        <v>156</v>
      </c>
    </row>
    <row r="55" spans="1:14" s="40" customFormat="1" ht="15.6" x14ac:dyDescent="0.3">
      <c r="A55" s="7" t="s">
        <v>100</v>
      </c>
      <c r="B55" s="7" t="s">
        <v>15</v>
      </c>
      <c r="C55" s="1" t="s">
        <v>16</v>
      </c>
      <c r="D55" s="9" t="s">
        <v>17</v>
      </c>
      <c r="E55" s="29" t="s">
        <v>417</v>
      </c>
      <c r="F55" s="17" t="s">
        <v>440</v>
      </c>
      <c r="G55" s="7" t="s">
        <v>18</v>
      </c>
      <c r="H55" s="1"/>
      <c r="I55" s="2"/>
      <c r="J55" s="1"/>
      <c r="K55" s="7" t="s">
        <v>437</v>
      </c>
      <c r="L55" s="7" t="s">
        <v>101</v>
      </c>
      <c r="M55"/>
      <c r="N55"/>
    </row>
    <row r="56" spans="1:14" s="40" customFormat="1" ht="46.8" x14ac:dyDescent="0.3">
      <c r="A56" s="34" t="s">
        <v>102</v>
      </c>
      <c r="B56" s="35" t="s">
        <v>15</v>
      </c>
      <c r="C56" s="36" t="s">
        <v>16</v>
      </c>
      <c r="D56" s="35" t="s">
        <v>17</v>
      </c>
      <c r="E56" s="35" t="s">
        <v>415</v>
      </c>
      <c r="F56" s="37"/>
      <c r="G56" s="35" t="s">
        <v>23</v>
      </c>
      <c r="H56" s="36"/>
      <c r="I56" s="38"/>
      <c r="J56" s="36"/>
      <c r="K56" s="39" t="s">
        <v>435</v>
      </c>
      <c r="L56" s="39" t="s">
        <v>103</v>
      </c>
    </row>
    <row r="57" spans="1:14" ht="15.6" x14ac:dyDescent="0.3">
      <c r="A57" s="8" t="s">
        <v>104</v>
      </c>
      <c r="B57" s="7" t="s">
        <v>15</v>
      </c>
      <c r="C57" s="1" t="s">
        <v>16</v>
      </c>
      <c r="D57" s="11" t="s">
        <v>17</v>
      </c>
      <c r="E57" s="28" t="s">
        <v>422</v>
      </c>
      <c r="F57" s="17" t="s">
        <v>440</v>
      </c>
      <c r="G57" s="11" t="s">
        <v>18</v>
      </c>
      <c r="H57" s="1"/>
      <c r="I57" s="2"/>
      <c r="J57" s="1"/>
      <c r="K57" s="7" t="s">
        <v>437</v>
      </c>
      <c r="L57" s="7" t="s">
        <v>105</v>
      </c>
    </row>
    <row r="58" spans="1:14" ht="15.6" hidden="1" x14ac:dyDescent="0.3">
      <c r="A58" s="7"/>
      <c r="B58" s="7"/>
      <c r="C58" s="1"/>
      <c r="D58" s="7"/>
      <c r="E58" s="29"/>
      <c r="F58" s="17"/>
      <c r="G58" s="7"/>
      <c r="H58" s="1"/>
      <c r="I58" s="2"/>
      <c r="J58" s="1"/>
      <c r="K58" s="7"/>
      <c r="L58" s="20" t="s">
        <v>164</v>
      </c>
    </row>
    <row r="59" spans="1:14" ht="31.2" x14ac:dyDescent="0.3">
      <c r="A59" s="6" t="s">
        <v>110</v>
      </c>
      <c r="B59" s="11" t="s">
        <v>15</v>
      </c>
      <c r="C59" s="1" t="s">
        <v>16</v>
      </c>
      <c r="D59" s="11" t="s">
        <v>17</v>
      </c>
      <c r="E59" s="28" t="s">
        <v>419</v>
      </c>
      <c r="F59" s="17" t="s">
        <v>440</v>
      </c>
      <c r="G59" s="11" t="s">
        <v>43</v>
      </c>
      <c r="H59" s="1"/>
      <c r="I59" s="2"/>
      <c r="J59" s="1"/>
      <c r="K59" s="52" t="s">
        <v>450</v>
      </c>
      <c r="L59" s="7" t="s">
        <v>111</v>
      </c>
    </row>
    <row r="60" spans="1:14" ht="31.2" x14ac:dyDescent="0.3">
      <c r="A60" s="8" t="s">
        <v>112</v>
      </c>
      <c r="B60" s="11" t="s">
        <v>15</v>
      </c>
      <c r="C60" s="1" t="s">
        <v>16</v>
      </c>
      <c r="D60" s="11" t="s">
        <v>17</v>
      </c>
      <c r="E60" s="57" t="s">
        <v>424</v>
      </c>
      <c r="F60" s="17" t="s">
        <v>440</v>
      </c>
      <c r="G60" s="11" t="s">
        <v>113</v>
      </c>
      <c r="H60" s="1"/>
      <c r="I60" s="2"/>
      <c r="J60" s="1"/>
      <c r="K60" s="7" t="s">
        <v>437</v>
      </c>
      <c r="L60" s="7" t="s">
        <v>114</v>
      </c>
    </row>
    <row r="61" spans="1:14" s="40" customFormat="1" ht="15.6" x14ac:dyDescent="0.3">
      <c r="A61" s="34" t="s">
        <v>115</v>
      </c>
      <c r="B61" s="35" t="s">
        <v>15</v>
      </c>
      <c r="C61" s="36" t="s">
        <v>16</v>
      </c>
      <c r="D61" s="35" t="s">
        <v>17</v>
      </c>
      <c r="E61" s="35" t="s">
        <v>415</v>
      </c>
      <c r="F61" s="37"/>
      <c r="G61" s="35" t="s">
        <v>116</v>
      </c>
      <c r="H61" s="36"/>
      <c r="I61" s="38"/>
      <c r="J61" s="36"/>
      <c r="K61" s="50" t="s">
        <v>447</v>
      </c>
      <c r="L61" s="39" t="s">
        <v>117</v>
      </c>
    </row>
    <row r="62" spans="1:14" ht="15.6" x14ac:dyDescent="0.3">
      <c r="A62" s="6" t="s">
        <v>118</v>
      </c>
      <c r="B62" s="11" t="s">
        <v>15</v>
      </c>
      <c r="C62" s="1" t="s">
        <v>16</v>
      </c>
      <c r="D62" s="11" t="s">
        <v>17</v>
      </c>
      <c r="E62" s="28" t="s">
        <v>424</v>
      </c>
      <c r="F62" s="17" t="s">
        <v>440</v>
      </c>
      <c r="G62" s="11" t="s">
        <v>61</v>
      </c>
      <c r="H62" s="1"/>
      <c r="I62" s="2"/>
      <c r="J62" s="1"/>
      <c r="K62" s="52" t="s">
        <v>451</v>
      </c>
      <c r="L62" s="7" t="s">
        <v>119</v>
      </c>
    </row>
    <row r="63" spans="1:14" ht="31.2" x14ac:dyDescent="0.3">
      <c r="A63" s="34" t="s">
        <v>120</v>
      </c>
      <c r="B63" s="39" t="s">
        <v>15</v>
      </c>
      <c r="C63" s="36" t="s">
        <v>16</v>
      </c>
      <c r="D63" s="35" t="s">
        <v>17</v>
      </c>
      <c r="E63" s="35" t="s">
        <v>415</v>
      </c>
      <c r="F63" s="37"/>
      <c r="G63" s="35" t="s">
        <v>121</v>
      </c>
      <c r="H63" s="36"/>
      <c r="I63" s="38"/>
      <c r="J63" s="36"/>
      <c r="K63" s="39" t="s">
        <v>435</v>
      </c>
      <c r="L63" s="39" t="s">
        <v>122</v>
      </c>
      <c r="M63" s="40"/>
      <c r="N63" s="40"/>
    </row>
    <row r="64" spans="1:14" ht="15.6" hidden="1" x14ac:dyDescent="0.3">
      <c r="A64" s="7"/>
      <c r="B64" s="7"/>
      <c r="C64" s="1"/>
      <c r="D64" s="7"/>
      <c r="E64" s="29"/>
      <c r="F64" s="17"/>
      <c r="G64" s="7"/>
      <c r="H64" s="1"/>
      <c r="I64" s="2"/>
      <c r="J64" s="1"/>
      <c r="K64" s="7"/>
      <c r="L64" s="12" t="s">
        <v>175</v>
      </c>
    </row>
    <row r="65" spans="1:14" ht="15.6" x14ac:dyDescent="0.3">
      <c r="A65" s="34" t="s">
        <v>123</v>
      </c>
      <c r="B65" s="35" t="s">
        <v>15</v>
      </c>
      <c r="C65" s="36" t="s">
        <v>16</v>
      </c>
      <c r="D65" s="35" t="s">
        <v>17</v>
      </c>
      <c r="E65" s="35" t="s">
        <v>415</v>
      </c>
      <c r="F65" s="37"/>
      <c r="G65" s="35" t="s">
        <v>124</v>
      </c>
      <c r="H65" s="36"/>
      <c r="I65" s="38"/>
      <c r="J65" s="36"/>
      <c r="K65" s="39" t="s">
        <v>435</v>
      </c>
      <c r="L65" s="39" t="s">
        <v>125</v>
      </c>
      <c r="M65" s="40"/>
      <c r="N65" s="40"/>
    </row>
    <row r="66" spans="1:14" ht="15.6" x14ac:dyDescent="0.3">
      <c r="A66" s="6" t="s">
        <v>126</v>
      </c>
      <c r="B66" s="11" t="s">
        <v>15</v>
      </c>
      <c r="C66" s="1" t="s">
        <v>16</v>
      </c>
      <c r="D66" s="11" t="s">
        <v>17</v>
      </c>
      <c r="E66" s="28" t="s">
        <v>424</v>
      </c>
      <c r="F66" s="17" t="s">
        <v>440</v>
      </c>
      <c r="G66" s="11" t="s">
        <v>127</v>
      </c>
      <c r="H66" s="1"/>
      <c r="I66" s="2"/>
      <c r="J66" s="1"/>
      <c r="K66" s="7" t="s">
        <v>452</v>
      </c>
      <c r="L66" s="7" t="s">
        <v>128</v>
      </c>
    </row>
    <row r="67" spans="1:14" s="40" customFormat="1" ht="15.6" x14ac:dyDescent="0.3">
      <c r="A67" s="34" t="s">
        <v>129</v>
      </c>
      <c r="B67" s="35" t="s">
        <v>15</v>
      </c>
      <c r="C67" s="36" t="s">
        <v>16</v>
      </c>
      <c r="D67" s="35" t="s">
        <v>17</v>
      </c>
      <c r="E67" s="35" t="s">
        <v>415</v>
      </c>
      <c r="F67" s="37"/>
      <c r="G67" s="35" t="s">
        <v>130</v>
      </c>
      <c r="H67" s="36"/>
      <c r="I67" s="38"/>
      <c r="J67" s="36"/>
      <c r="K67" s="39" t="s">
        <v>435</v>
      </c>
      <c r="L67" s="39" t="s">
        <v>131</v>
      </c>
    </row>
    <row r="68" spans="1:14" ht="15.6" x14ac:dyDescent="0.3">
      <c r="A68" s="34" t="s">
        <v>132</v>
      </c>
      <c r="B68" s="35" t="s">
        <v>133</v>
      </c>
      <c r="C68" s="36" t="s">
        <v>16</v>
      </c>
      <c r="D68" s="35" t="s">
        <v>17</v>
      </c>
      <c r="E68" s="35" t="s">
        <v>415</v>
      </c>
      <c r="F68" s="37"/>
      <c r="G68" s="35" t="s">
        <v>134</v>
      </c>
      <c r="H68" s="36"/>
      <c r="I68" s="38"/>
      <c r="J68" s="36"/>
      <c r="K68" s="39" t="s">
        <v>445</v>
      </c>
      <c r="L68" s="39" t="s">
        <v>135</v>
      </c>
      <c r="M68" s="40"/>
      <c r="N68" s="40"/>
    </row>
    <row r="69" spans="1:14" ht="46.8" x14ac:dyDescent="0.3">
      <c r="A69" s="34" t="s">
        <v>143</v>
      </c>
      <c r="B69" s="35" t="s">
        <v>15</v>
      </c>
      <c r="C69" s="36" t="s">
        <v>16</v>
      </c>
      <c r="D69" s="35" t="s">
        <v>17</v>
      </c>
      <c r="E69" s="35" t="s">
        <v>415</v>
      </c>
      <c r="F69" s="37"/>
      <c r="G69" s="35" t="s">
        <v>144</v>
      </c>
      <c r="H69" s="36"/>
      <c r="I69" s="38"/>
      <c r="J69" s="36"/>
      <c r="K69" s="39" t="s">
        <v>435</v>
      </c>
      <c r="L69" s="39" t="s">
        <v>145</v>
      </c>
      <c r="M69" s="40"/>
      <c r="N69" s="40"/>
    </row>
    <row r="70" spans="1:14" s="40" customFormat="1" ht="46.8" x14ac:dyDescent="0.3">
      <c r="A70" s="34" t="s">
        <v>146</v>
      </c>
      <c r="B70" s="39" t="s">
        <v>15</v>
      </c>
      <c r="C70" s="36" t="s">
        <v>16</v>
      </c>
      <c r="D70" s="35" t="s">
        <v>17</v>
      </c>
      <c r="E70" s="39" t="s">
        <v>415</v>
      </c>
      <c r="F70" s="37"/>
      <c r="G70" s="35" t="s">
        <v>147</v>
      </c>
      <c r="H70" s="36"/>
      <c r="I70" s="38"/>
      <c r="J70" s="36"/>
      <c r="K70" s="39" t="s">
        <v>435</v>
      </c>
      <c r="L70" s="39" t="s">
        <v>148</v>
      </c>
    </row>
    <row r="71" spans="1:14" s="40" customFormat="1" ht="15.6" x14ac:dyDescent="0.3">
      <c r="A71" s="34" t="s">
        <v>149</v>
      </c>
      <c r="B71" s="35" t="s">
        <v>15</v>
      </c>
      <c r="C71" s="36" t="s">
        <v>16</v>
      </c>
      <c r="D71" s="35" t="s">
        <v>17</v>
      </c>
      <c r="E71" s="35" t="s">
        <v>415</v>
      </c>
      <c r="F71" s="37"/>
      <c r="G71" s="35"/>
      <c r="H71" s="36"/>
      <c r="I71" s="38"/>
      <c r="J71" s="36"/>
      <c r="K71" s="39" t="s">
        <v>445</v>
      </c>
      <c r="L71" s="39" t="s">
        <v>150</v>
      </c>
    </row>
    <row r="72" spans="1:14" ht="15.6" x14ac:dyDescent="0.3">
      <c r="A72" s="34" t="s">
        <v>157</v>
      </c>
      <c r="B72" s="35" t="s">
        <v>15</v>
      </c>
      <c r="C72" s="36" t="s">
        <v>16</v>
      </c>
      <c r="D72" s="35" t="s">
        <v>17</v>
      </c>
      <c r="E72" s="35" t="s">
        <v>415</v>
      </c>
      <c r="F72" s="37"/>
      <c r="G72" s="35" t="s">
        <v>92</v>
      </c>
      <c r="H72" s="36"/>
      <c r="I72" s="38"/>
      <c r="J72" s="36"/>
      <c r="K72" s="39" t="s">
        <v>448</v>
      </c>
      <c r="L72" s="39" t="s">
        <v>158</v>
      </c>
      <c r="M72" s="40"/>
      <c r="N72" s="40"/>
    </row>
    <row r="73" spans="1:14" s="40" customFormat="1" ht="15.6" x14ac:dyDescent="0.3">
      <c r="A73" s="41" t="s">
        <v>159</v>
      </c>
      <c r="B73" s="42" t="s">
        <v>15</v>
      </c>
      <c r="C73" s="43" t="s">
        <v>16</v>
      </c>
      <c r="D73" s="42" t="s">
        <v>17</v>
      </c>
      <c r="E73" s="42" t="s">
        <v>415</v>
      </c>
      <c r="F73" s="44"/>
      <c r="G73" s="42" t="s">
        <v>160</v>
      </c>
      <c r="H73" s="43"/>
      <c r="I73" s="45"/>
      <c r="J73" s="43"/>
      <c r="K73" s="51" t="s">
        <v>449</v>
      </c>
      <c r="L73" s="46" t="s">
        <v>161</v>
      </c>
    </row>
    <row r="74" spans="1:14" s="40" customFormat="1" ht="15.6" x14ac:dyDescent="0.3">
      <c r="A74" s="6" t="s">
        <v>165</v>
      </c>
      <c r="B74" s="11" t="s">
        <v>15</v>
      </c>
      <c r="C74" s="1" t="s">
        <v>16</v>
      </c>
      <c r="D74" s="11" t="s">
        <v>17</v>
      </c>
      <c r="E74" s="28" t="s">
        <v>419</v>
      </c>
      <c r="F74" s="17" t="s">
        <v>440</v>
      </c>
      <c r="G74" s="11" t="s">
        <v>43</v>
      </c>
      <c r="H74" s="1"/>
      <c r="I74" s="2"/>
      <c r="J74" s="1"/>
      <c r="K74" s="52" t="s">
        <v>453</v>
      </c>
      <c r="L74" s="7" t="s">
        <v>166</v>
      </c>
      <c r="M74"/>
      <c r="N74"/>
    </row>
    <row r="75" spans="1:14" ht="15.6" hidden="1" x14ac:dyDescent="0.3">
      <c r="A75" s="6"/>
      <c r="B75" s="11" t="s">
        <v>15</v>
      </c>
      <c r="C75" s="1" t="s">
        <v>16</v>
      </c>
      <c r="D75" s="11" t="s">
        <v>152</v>
      </c>
      <c r="E75" s="28" t="s">
        <v>201</v>
      </c>
      <c r="F75" s="17"/>
      <c r="G75" s="11"/>
      <c r="H75" s="1"/>
      <c r="I75" s="2"/>
      <c r="J75" s="1"/>
      <c r="K75" s="7"/>
      <c r="L75" s="7" t="s">
        <v>202</v>
      </c>
    </row>
    <row r="76" spans="1:14" ht="15.6" x14ac:dyDescent="0.3">
      <c r="A76" s="54" t="s">
        <v>167</v>
      </c>
      <c r="B76" s="11" t="s">
        <v>15</v>
      </c>
      <c r="C76" s="1" t="s">
        <v>16</v>
      </c>
      <c r="D76" s="11" t="s">
        <v>17</v>
      </c>
      <c r="E76" s="28" t="s">
        <v>424</v>
      </c>
      <c r="F76" s="17" t="s">
        <v>440</v>
      </c>
      <c r="G76" s="11" t="s">
        <v>18</v>
      </c>
      <c r="H76" s="1"/>
      <c r="I76" s="2"/>
      <c r="J76" s="1"/>
      <c r="K76" s="52" t="s">
        <v>454</v>
      </c>
      <c r="L76" s="7" t="s">
        <v>168</v>
      </c>
    </row>
    <row r="77" spans="1:14" ht="15.6" x14ac:dyDescent="0.3">
      <c r="A77" s="34" t="s">
        <v>169</v>
      </c>
      <c r="B77" s="35" t="s">
        <v>15</v>
      </c>
      <c r="C77" s="36" t="s">
        <v>16</v>
      </c>
      <c r="D77" s="35" t="s">
        <v>17</v>
      </c>
      <c r="E77" s="35" t="s">
        <v>415</v>
      </c>
      <c r="F77" s="37"/>
      <c r="G77" s="35" t="s">
        <v>23</v>
      </c>
      <c r="H77" s="36"/>
      <c r="I77" s="38"/>
      <c r="J77" s="36"/>
      <c r="K77" s="39" t="s">
        <v>455</v>
      </c>
      <c r="L77" s="39" t="s">
        <v>170</v>
      </c>
      <c r="M77" s="40"/>
      <c r="N77" s="40"/>
    </row>
    <row r="78" spans="1:14" ht="16.2" hidden="1" x14ac:dyDescent="0.3">
      <c r="A78" s="10"/>
      <c r="B78" s="11" t="s">
        <v>15</v>
      </c>
      <c r="C78" s="1"/>
      <c r="D78" s="11"/>
      <c r="E78" s="28"/>
      <c r="F78" s="17"/>
      <c r="G78" s="11"/>
      <c r="H78" s="1"/>
      <c r="I78" s="2"/>
      <c r="J78" s="1"/>
      <c r="K78" s="7" t="s">
        <v>207</v>
      </c>
      <c r="L78" s="12" t="s">
        <v>208</v>
      </c>
    </row>
    <row r="79" spans="1:14" ht="15.6" x14ac:dyDescent="0.3">
      <c r="A79" s="6" t="s">
        <v>171</v>
      </c>
      <c r="B79" s="11" t="s">
        <v>15</v>
      </c>
      <c r="C79" s="1" t="s">
        <v>16</v>
      </c>
      <c r="D79" s="11" t="s">
        <v>17</v>
      </c>
      <c r="E79" s="28" t="s">
        <v>424</v>
      </c>
      <c r="F79" s="17" t="s">
        <v>440</v>
      </c>
      <c r="G79" s="11" t="s">
        <v>18</v>
      </c>
      <c r="H79" s="1"/>
      <c r="I79" s="2"/>
      <c r="J79" s="1"/>
      <c r="K79" s="7" t="s">
        <v>437</v>
      </c>
      <c r="L79" s="7" t="s">
        <v>172</v>
      </c>
    </row>
    <row r="80" spans="1:14" s="40" customFormat="1" ht="15.6" x14ac:dyDescent="0.3">
      <c r="A80" s="6" t="s">
        <v>173</v>
      </c>
      <c r="B80" s="11" t="s">
        <v>15</v>
      </c>
      <c r="C80" s="1" t="s">
        <v>16</v>
      </c>
      <c r="D80" s="11" t="s">
        <v>17</v>
      </c>
      <c r="E80" s="28" t="s">
        <v>424</v>
      </c>
      <c r="F80" s="17" t="s">
        <v>440</v>
      </c>
      <c r="G80" s="11" t="s">
        <v>18</v>
      </c>
      <c r="H80" s="1"/>
      <c r="I80" s="2"/>
      <c r="J80" s="1"/>
      <c r="K80" s="52" t="s">
        <v>456</v>
      </c>
      <c r="L80" s="7" t="s">
        <v>174</v>
      </c>
      <c r="M80"/>
      <c r="N80"/>
    </row>
    <row r="81" spans="1:14" s="40" customFormat="1" ht="15.6" x14ac:dyDescent="0.3">
      <c r="A81" s="9" t="s">
        <v>180</v>
      </c>
      <c r="B81" s="9"/>
      <c r="C81" s="1" t="s">
        <v>16</v>
      </c>
      <c r="D81" s="9" t="s">
        <v>17</v>
      </c>
      <c r="E81" s="31" t="s">
        <v>412</v>
      </c>
      <c r="F81" s="17" t="s">
        <v>440</v>
      </c>
      <c r="G81" s="9" t="s">
        <v>181</v>
      </c>
      <c r="H81" s="1"/>
      <c r="I81" s="2"/>
      <c r="J81" s="1"/>
      <c r="K81" s="9" t="s">
        <v>437</v>
      </c>
      <c r="L81" s="14" t="s">
        <v>182</v>
      </c>
      <c r="M81"/>
      <c r="N81"/>
    </row>
    <row r="82" spans="1:14" ht="15.6" x14ac:dyDescent="0.3">
      <c r="A82" s="34" t="s">
        <v>183</v>
      </c>
      <c r="B82" s="35" t="s">
        <v>15</v>
      </c>
      <c r="C82" s="36" t="s">
        <v>16</v>
      </c>
      <c r="D82" s="35" t="s">
        <v>17</v>
      </c>
      <c r="E82" s="35" t="s">
        <v>415</v>
      </c>
      <c r="F82" s="37"/>
      <c r="G82" s="35" t="s">
        <v>23</v>
      </c>
      <c r="H82" s="36"/>
      <c r="I82" s="38"/>
      <c r="J82" s="36"/>
      <c r="K82" s="39" t="s">
        <v>435</v>
      </c>
      <c r="L82" s="39" t="s">
        <v>184</v>
      </c>
      <c r="M82" s="40"/>
      <c r="N82" s="40"/>
    </row>
    <row r="83" spans="1:14" ht="15.6" x14ac:dyDescent="0.3">
      <c r="A83" s="6" t="s">
        <v>185</v>
      </c>
      <c r="B83" s="11" t="s">
        <v>15</v>
      </c>
      <c r="C83" s="1" t="s">
        <v>16</v>
      </c>
      <c r="D83" s="11" t="s">
        <v>17</v>
      </c>
      <c r="E83" s="28" t="s">
        <v>424</v>
      </c>
      <c r="F83" s="17" t="s">
        <v>440</v>
      </c>
      <c r="G83" s="11" t="s">
        <v>18</v>
      </c>
      <c r="H83" s="1"/>
      <c r="I83" s="2"/>
      <c r="J83" s="1"/>
      <c r="K83" s="9" t="s">
        <v>437</v>
      </c>
      <c r="L83" s="7" t="s">
        <v>186</v>
      </c>
    </row>
    <row r="84" spans="1:14" ht="31.2" x14ac:dyDescent="0.3">
      <c r="A84" s="6" t="s">
        <v>187</v>
      </c>
      <c r="B84" s="11" t="s">
        <v>15</v>
      </c>
      <c r="C84" s="1" t="s">
        <v>16</v>
      </c>
      <c r="D84" s="11" t="s">
        <v>17</v>
      </c>
      <c r="E84" s="28" t="s">
        <v>413</v>
      </c>
      <c r="F84" s="17" t="s">
        <v>440</v>
      </c>
      <c r="G84" s="11" t="s">
        <v>61</v>
      </c>
      <c r="H84" s="1"/>
      <c r="I84" s="2"/>
      <c r="J84" s="1"/>
      <c r="K84" s="53" t="s">
        <v>457</v>
      </c>
      <c r="L84" s="7" t="s">
        <v>188</v>
      </c>
    </row>
    <row r="85" spans="1:14" ht="15.6" x14ac:dyDescent="0.3">
      <c r="A85" s="34" t="s">
        <v>189</v>
      </c>
      <c r="B85" s="35" t="s">
        <v>15</v>
      </c>
      <c r="C85" s="36" t="s">
        <v>16</v>
      </c>
      <c r="D85" s="35" t="s">
        <v>17</v>
      </c>
      <c r="E85" s="35" t="s">
        <v>415</v>
      </c>
      <c r="F85" s="37"/>
      <c r="G85" s="35" t="s">
        <v>23</v>
      </c>
      <c r="H85" s="36"/>
      <c r="I85" s="38"/>
      <c r="J85" s="36"/>
      <c r="K85" s="50" t="s">
        <v>458</v>
      </c>
      <c r="L85" s="39" t="s">
        <v>190</v>
      </c>
      <c r="M85" s="40"/>
      <c r="N85" s="40"/>
    </row>
    <row r="86" spans="1:14" ht="31.2" x14ac:dyDescent="0.3">
      <c r="A86" s="56" t="s">
        <v>191</v>
      </c>
      <c r="B86" s="39" t="s">
        <v>15</v>
      </c>
      <c r="C86" s="36" t="s">
        <v>16</v>
      </c>
      <c r="D86" s="35" t="s">
        <v>17</v>
      </c>
      <c r="E86" s="35" t="s">
        <v>415</v>
      </c>
      <c r="F86" s="37"/>
      <c r="G86" s="35" t="s">
        <v>192</v>
      </c>
      <c r="H86" s="36"/>
      <c r="I86" s="38"/>
      <c r="J86" s="36"/>
      <c r="K86" s="39" t="s">
        <v>435</v>
      </c>
      <c r="L86" s="46" t="s">
        <v>193</v>
      </c>
      <c r="M86" s="40"/>
      <c r="N86" s="40"/>
    </row>
    <row r="87" spans="1:14" s="40" customFormat="1" ht="15.6" x14ac:dyDescent="0.3">
      <c r="A87" s="7"/>
      <c r="B87" s="7"/>
      <c r="C87" s="1" t="s">
        <v>16</v>
      </c>
      <c r="D87" s="7" t="s">
        <v>17</v>
      </c>
      <c r="E87" s="29"/>
      <c r="F87" s="17"/>
      <c r="G87" s="7"/>
      <c r="H87" s="1"/>
      <c r="I87" s="2"/>
      <c r="J87" s="1"/>
      <c r="K87" s="7"/>
      <c r="L87" s="14" t="s">
        <v>194</v>
      </c>
      <c r="M87"/>
      <c r="N87"/>
    </row>
    <row r="88" spans="1:14" s="40" customFormat="1" ht="15.6" x14ac:dyDescent="0.3">
      <c r="A88" s="39" t="s">
        <v>195</v>
      </c>
      <c r="B88" s="39" t="s">
        <v>15</v>
      </c>
      <c r="C88" s="36" t="s">
        <v>16</v>
      </c>
      <c r="D88" s="39" t="s">
        <v>17</v>
      </c>
      <c r="E88" s="39" t="s">
        <v>415</v>
      </c>
      <c r="F88" s="37"/>
      <c r="G88" s="39" t="s">
        <v>61</v>
      </c>
      <c r="H88" s="36"/>
      <c r="I88" s="38"/>
      <c r="J88" s="36"/>
      <c r="K88" s="39" t="s">
        <v>435</v>
      </c>
      <c r="L88" s="39" t="s">
        <v>196</v>
      </c>
    </row>
    <row r="89" spans="1:14" s="40" customFormat="1" ht="15.6" x14ac:dyDescent="0.3">
      <c r="A89" s="34" t="s">
        <v>197</v>
      </c>
      <c r="B89" s="35" t="s">
        <v>15</v>
      </c>
      <c r="C89" s="36" t="s">
        <v>16</v>
      </c>
      <c r="D89" s="35" t="s">
        <v>17</v>
      </c>
      <c r="E89" s="35" t="s">
        <v>415</v>
      </c>
      <c r="F89" s="37"/>
      <c r="G89" s="35" t="s">
        <v>198</v>
      </c>
      <c r="H89" s="36"/>
      <c r="I89" s="38"/>
      <c r="J89" s="36"/>
      <c r="K89" s="39" t="s">
        <v>199</v>
      </c>
      <c r="L89" s="39" t="s">
        <v>200</v>
      </c>
    </row>
    <row r="90" spans="1:14" s="40" customFormat="1" ht="15.6" x14ac:dyDescent="0.3">
      <c r="A90" s="6" t="s">
        <v>203</v>
      </c>
      <c r="B90" s="11" t="s">
        <v>15</v>
      </c>
      <c r="C90" s="1" t="s">
        <v>16</v>
      </c>
      <c r="D90" s="11" t="s">
        <v>17</v>
      </c>
      <c r="E90" s="28" t="s">
        <v>413</v>
      </c>
      <c r="F90" s="17" t="s">
        <v>440</v>
      </c>
      <c r="G90" s="11" t="s">
        <v>61</v>
      </c>
      <c r="H90" s="1"/>
      <c r="I90" s="2"/>
      <c r="J90" s="1"/>
      <c r="K90" s="7" t="s">
        <v>437</v>
      </c>
      <c r="L90" s="7" t="s">
        <v>204</v>
      </c>
      <c r="M90"/>
      <c r="N90"/>
    </row>
    <row r="91" spans="1:14" ht="15.6" hidden="1" x14ac:dyDescent="0.3">
      <c r="A91" s="6"/>
      <c r="B91" s="11" t="s">
        <v>15</v>
      </c>
      <c r="C91" s="1"/>
      <c r="D91" s="11" t="s">
        <v>84</v>
      </c>
      <c r="E91" s="28" t="s">
        <v>236</v>
      </c>
      <c r="F91" s="17"/>
      <c r="G91" s="11" t="s">
        <v>237</v>
      </c>
      <c r="H91" s="1"/>
      <c r="I91" s="2"/>
      <c r="J91" s="1"/>
      <c r="K91" s="7" t="s">
        <v>238</v>
      </c>
      <c r="L91" s="7" t="s">
        <v>239</v>
      </c>
    </row>
    <row r="92" spans="1:14" ht="31.2" x14ac:dyDescent="0.3">
      <c r="A92" s="7" t="s">
        <v>205</v>
      </c>
      <c r="B92" s="7" t="s">
        <v>15</v>
      </c>
      <c r="C92" s="1" t="s">
        <v>16</v>
      </c>
      <c r="D92" s="11" t="s">
        <v>17</v>
      </c>
      <c r="E92" s="28" t="s">
        <v>412</v>
      </c>
      <c r="F92" s="17" t="s">
        <v>440</v>
      </c>
      <c r="G92" s="11" t="s">
        <v>18</v>
      </c>
      <c r="H92" s="1"/>
      <c r="I92" s="2"/>
      <c r="J92" s="1"/>
      <c r="K92" s="7" t="s">
        <v>437</v>
      </c>
      <c r="L92" s="7" t="s">
        <v>206</v>
      </c>
    </row>
    <row r="93" spans="1:14" s="40" customFormat="1" ht="15.6" x14ac:dyDescent="0.3">
      <c r="A93" s="34" t="s">
        <v>211</v>
      </c>
      <c r="B93" s="35" t="s">
        <v>15</v>
      </c>
      <c r="C93" s="36" t="s">
        <v>16</v>
      </c>
      <c r="D93" s="35" t="s">
        <v>17</v>
      </c>
      <c r="E93" s="35" t="s">
        <v>415</v>
      </c>
      <c r="F93" s="37"/>
      <c r="G93" s="35" t="s">
        <v>23</v>
      </c>
      <c r="H93" s="36"/>
      <c r="I93" s="38"/>
      <c r="J93" s="36"/>
      <c r="K93" s="39" t="s">
        <v>459</v>
      </c>
      <c r="L93" s="39" t="s">
        <v>212</v>
      </c>
    </row>
    <row r="94" spans="1:14" ht="15.6" x14ac:dyDescent="0.3">
      <c r="A94" s="39" t="s">
        <v>213</v>
      </c>
      <c r="B94" s="39" t="s">
        <v>15</v>
      </c>
      <c r="C94" s="36" t="s">
        <v>16</v>
      </c>
      <c r="D94" s="39" t="s">
        <v>17</v>
      </c>
      <c r="E94" s="39" t="s">
        <v>415</v>
      </c>
      <c r="F94" s="37"/>
      <c r="G94" s="39" t="s">
        <v>43</v>
      </c>
      <c r="H94" s="36"/>
      <c r="I94" s="38"/>
      <c r="J94" s="36"/>
      <c r="K94" s="39" t="s">
        <v>435</v>
      </c>
      <c r="L94" s="39" t="s">
        <v>214</v>
      </c>
      <c r="M94" s="40"/>
      <c r="N94" s="40"/>
    </row>
    <row r="95" spans="1:14" ht="15.6" x14ac:dyDescent="0.3">
      <c r="A95" s="55"/>
      <c r="B95" s="7"/>
      <c r="C95" s="1"/>
      <c r="D95" s="7" t="s">
        <v>17</v>
      </c>
      <c r="E95" s="29" t="s">
        <v>215</v>
      </c>
      <c r="F95" s="17"/>
      <c r="G95" s="7" t="s">
        <v>216</v>
      </c>
      <c r="H95" s="1"/>
      <c r="I95" s="2"/>
      <c r="J95" s="1"/>
      <c r="K95" s="7"/>
      <c r="L95" s="13" t="s">
        <v>217</v>
      </c>
    </row>
    <row r="96" spans="1:14" ht="15.6" hidden="1" x14ac:dyDescent="0.3">
      <c r="A96" s="6" t="s">
        <v>248</v>
      </c>
      <c r="B96" s="11" t="s">
        <v>15</v>
      </c>
      <c r="C96" s="1" t="s">
        <v>83</v>
      </c>
      <c r="D96" s="11" t="s">
        <v>152</v>
      </c>
      <c r="E96" s="28" t="s">
        <v>153</v>
      </c>
      <c r="F96" s="17"/>
      <c r="G96" s="11"/>
      <c r="H96" s="1"/>
      <c r="I96" s="2"/>
      <c r="J96" s="1"/>
      <c r="K96" s="9" t="s">
        <v>249</v>
      </c>
      <c r="L96" s="7" t="s">
        <v>250</v>
      </c>
    </row>
    <row r="97" spans="1:14" s="40" customFormat="1" ht="15.6" x14ac:dyDescent="0.3">
      <c r="A97" s="6" t="s">
        <v>218</v>
      </c>
      <c r="B97" s="11" t="s">
        <v>15</v>
      </c>
      <c r="C97" s="1" t="s">
        <v>16</v>
      </c>
      <c r="D97" s="11" t="s">
        <v>17</v>
      </c>
      <c r="E97" s="28" t="s">
        <v>424</v>
      </c>
      <c r="F97" s="17" t="s">
        <v>440</v>
      </c>
      <c r="G97" s="11" t="s">
        <v>18</v>
      </c>
      <c r="H97" s="1"/>
      <c r="I97" s="2"/>
      <c r="J97" s="1"/>
      <c r="K97" s="9" t="s">
        <v>437</v>
      </c>
      <c r="L97" s="7" t="s">
        <v>219</v>
      </c>
      <c r="M97"/>
      <c r="N97"/>
    </row>
    <row r="98" spans="1:14" s="40" customFormat="1" ht="15.6" x14ac:dyDescent="0.3">
      <c r="A98" s="6" t="s">
        <v>220</v>
      </c>
      <c r="B98" s="11" t="s">
        <v>15</v>
      </c>
      <c r="C98" s="1" t="s">
        <v>16</v>
      </c>
      <c r="D98" s="11" t="s">
        <v>17</v>
      </c>
      <c r="E98" s="28" t="s">
        <v>428</v>
      </c>
      <c r="F98" s="17" t="s">
        <v>440</v>
      </c>
      <c r="G98" s="11"/>
      <c r="H98" s="1"/>
      <c r="I98" s="2"/>
      <c r="J98" s="1"/>
      <c r="K98" s="52" t="s">
        <v>460</v>
      </c>
      <c r="L98" s="7" t="s">
        <v>221</v>
      </c>
      <c r="M98"/>
      <c r="N98"/>
    </row>
    <row r="99" spans="1:14" ht="15.6" x14ac:dyDescent="0.3">
      <c r="A99" s="6" t="s">
        <v>222</v>
      </c>
      <c r="B99" s="11" t="s">
        <v>15</v>
      </c>
      <c r="C99" s="1" t="s">
        <v>16</v>
      </c>
      <c r="D99" s="11" t="s">
        <v>17</v>
      </c>
      <c r="E99" s="28" t="s">
        <v>413</v>
      </c>
      <c r="F99" s="17" t="s">
        <v>440</v>
      </c>
      <c r="G99" s="11" t="s">
        <v>223</v>
      </c>
      <c r="H99" s="1"/>
      <c r="I99" s="2"/>
      <c r="J99" s="1"/>
      <c r="K99" s="7" t="s">
        <v>437</v>
      </c>
      <c r="L99" s="7" t="s">
        <v>224</v>
      </c>
    </row>
    <row r="100" spans="1:14" s="40" customFormat="1" ht="15.6" x14ac:dyDescent="0.3">
      <c r="A100" s="54" t="s">
        <v>225</v>
      </c>
      <c r="B100" s="11" t="s">
        <v>15</v>
      </c>
      <c r="C100" s="1" t="s">
        <v>16</v>
      </c>
      <c r="D100" s="11" t="s">
        <v>17</v>
      </c>
      <c r="E100" s="28" t="s">
        <v>413</v>
      </c>
      <c r="F100" s="17" t="s">
        <v>440</v>
      </c>
      <c r="G100" s="11" t="s">
        <v>61</v>
      </c>
      <c r="H100" s="1"/>
      <c r="I100" s="2"/>
      <c r="J100" s="1"/>
      <c r="K100" s="52" t="s">
        <v>461</v>
      </c>
      <c r="L100" s="7" t="s">
        <v>226</v>
      </c>
      <c r="M100"/>
      <c r="N100"/>
    </row>
    <row r="101" spans="1:14" ht="15.6" x14ac:dyDescent="0.3">
      <c r="A101" s="34" t="s">
        <v>227</v>
      </c>
      <c r="B101" s="35" t="s">
        <v>15</v>
      </c>
      <c r="C101" s="36" t="s">
        <v>16</v>
      </c>
      <c r="D101" s="35" t="s">
        <v>17</v>
      </c>
      <c r="E101" s="35" t="s">
        <v>415</v>
      </c>
      <c r="F101" s="37"/>
      <c r="G101" s="35" t="s">
        <v>23</v>
      </c>
      <c r="H101" s="36"/>
      <c r="I101" s="38"/>
      <c r="J101" s="36"/>
      <c r="K101" s="39" t="s">
        <v>462</v>
      </c>
      <c r="L101" s="39" t="s">
        <v>228</v>
      </c>
      <c r="M101" s="40"/>
      <c r="N101" s="40"/>
    </row>
    <row r="102" spans="1:14" s="40" customFormat="1" ht="46.8" x14ac:dyDescent="0.3">
      <c r="A102" s="34" t="s">
        <v>229</v>
      </c>
      <c r="B102" s="35" t="s">
        <v>15</v>
      </c>
      <c r="C102" s="36" t="s">
        <v>16</v>
      </c>
      <c r="D102" s="35" t="s">
        <v>17</v>
      </c>
      <c r="E102" s="35" t="s">
        <v>415</v>
      </c>
      <c r="F102" s="37"/>
      <c r="G102" s="35" t="s">
        <v>18</v>
      </c>
      <c r="H102" s="36"/>
      <c r="I102" s="38"/>
      <c r="J102" s="36"/>
      <c r="K102" s="39" t="s">
        <v>435</v>
      </c>
      <c r="L102" s="39" t="s">
        <v>230</v>
      </c>
    </row>
    <row r="103" spans="1:14" ht="15.6" hidden="1" x14ac:dyDescent="0.3">
      <c r="A103" s="6" t="s">
        <v>265</v>
      </c>
      <c r="B103" s="11" t="s">
        <v>15</v>
      </c>
      <c r="C103" s="1" t="s">
        <v>83</v>
      </c>
      <c r="D103" s="11" t="s">
        <v>152</v>
      </c>
      <c r="E103" s="28" t="s">
        <v>201</v>
      </c>
      <c r="F103" s="17"/>
      <c r="G103" s="11" t="s">
        <v>18</v>
      </c>
      <c r="H103" s="1"/>
      <c r="I103" s="2"/>
      <c r="J103" s="1"/>
      <c r="K103" s="7"/>
      <c r="L103" s="12" t="s">
        <v>266</v>
      </c>
    </row>
    <row r="104" spans="1:14" ht="15.6" hidden="1" x14ac:dyDescent="0.3">
      <c r="A104" s="7"/>
      <c r="B104" s="7"/>
      <c r="C104" s="1"/>
      <c r="D104" s="7"/>
      <c r="E104" s="29"/>
      <c r="F104" s="17"/>
      <c r="G104" s="7"/>
      <c r="H104" s="1"/>
      <c r="I104" s="2"/>
      <c r="J104" s="1"/>
      <c r="K104" s="7"/>
      <c r="L104" s="12" t="s">
        <v>267</v>
      </c>
    </row>
    <row r="105" spans="1:14" s="40" customFormat="1" ht="15.6" x14ac:dyDescent="0.3">
      <c r="A105" s="39" t="s">
        <v>231</v>
      </c>
      <c r="B105" s="39" t="s">
        <v>15</v>
      </c>
      <c r="C105" s="36" t="s">
        <v>16</v>
      </c>
      <c r="D105" s="39" t="s">
        <v>17</v>
      </c>
      <c r="E105" s="39" t="s">
        <v>415</v>
      </c>
      <c r="F105" s="47"/>
      <c r="G105" s="39" t="s">
        <v>18</v>
      </c>
      <c r="H105" s="36"/>
      <c r="I105" s="38"/>
      <c r="J105" s="36"/>
      <c r="K105" s="39" t="s">
        <v>435</v>
      </c>
      <c r="L105" s="39" t="s">
        <v>232</v>
      </c>
    </row>
    <row r="106" spans="1:14" ht="15.6" x14ac:dyDescent="0.3">
      <c r="A106" s="48" t="s">
        <v>233</v>
      </c>
      <c r="B106" s="48" t="s">
        <v>15</v>
      </c>
      <c r="C106" s="36" t="s">
        <v>16</v>
      </c>
      <c r="D106" s="48" t="s">
        <v>17</v>
      </c>
      <c r="E106" s="48" t="s">
        <v>415</v>
      </c>
      <c r="F106" s="37"/>
      <c r="G106" s="48" t="s">
        <v>234</v>
      </c>
      <c r="H106" s="36"/>
      <c r="I106" s="38"/>
      <c r="J106" s="36"/>
      <c r="K106" s="39" t="s">
        <v>435</v>
      </c>
      <c r="L106" s="39" t="s">
        <v>235</v>
      </c>
      <c r="M106" s="40"/>
      <c r="N106" s="40"/>
    </row>
    <row r="107" spans="1:14" s="40" customFormat="1" ht="15.6" x14ac:dyDescent="0.3">
      <c r="A107" s="6" t="s">
        <v>240</v>
      </c>
      <c r="B107" s="11" t="s">
        <v>15</v>
      </c>
      <c r="C107" s="1" t="s">
        <v>16</v>
      </c>
      <c r="D107" s="11" t="s">
        <v>17</v>
      </c>
      <c r="E107" s="28" t="s">
        <v>424</v>
      </c>
      <c r="F107" s="17" t="s">
        <v>440</v>
      </c>
      <c r="G107" s="11" t="s">
        <v>18</v>
      </c>
      <c r="H107" s="1"/>
      <c r="I107" s="2"/>
      <c r="J107" s="1"/>
      <c r="K107" s="52" t="s">
        <v>463</v>
      </c>
      <c r="L107" s="7" t="s">
        <v>241</v>
      </c>
      <c r="M107"/>
      <c r="N107"/>
    </row>
    <row r="108" spans="1:14" s="40" customFormat="1" ht="15.6" hidden="1" x14ac:dyDescent="0.3">
      <c r="A108" s="39" t="s">
        <v>276</v>
      </c>
      <c r="B108" s="39"/>
      <c r="C108" s="36"/>
      <c r="D108" s="39"/>
      <c r="E108" s="39" t="s">
        <v>415</v>
      </c>
      <c r="F108" s="37"/>
      <c r="G108" s="39" t="s">
        <v>18</v>
      </c>
      <c r="H108" s="36"/>
      <c r="I108" s="38"/>
      <c r="J108" s="36"/>
      <c r="K108" s="39"/>
      <c r="L108" s="39" t="s">
        <v>277</v>
      </c>
    </row>
    <row r="109" spans="1:14" ht="15.6" x14ac:dyDescent="0.3">
      <c r="A109" s="39" t="s">
        <v>242</v>
      </c>
      <c r="B109" s="39"/>
      <c r="C109" s="36" t="s">
        <v>16</v>
      </c>
      <c r="D109" s="48" t="s">
        <v>17</v>
      </c>
      <c r="E109" s="39" t="s">
        <v>415</v>
      </c>
      <c r="F109" s="37"/>
      <c r="G109" s="39" t="s">
        <v>18</v>
      </c>
      <c r="H109" s="36"/>
      <c r="I109" s="38"/>
      <c r="J109" s="36"/>
      <c r="K109" s="39" t="s">
        <v>435</v>
      </c>
      <c r="L109" s="39" t="s">
        <v>243</v>
      </c>
      <c r="M109" s="40"/>
      <c r="N109" s="40"/>
    </row>
    <row r="110" spans="1:14" s="40" customFormat="1" ht="15.6" x14ac:dyDescent="0.3">
      <c r="A110" s="6" t="s">
        <v>244</v>
      </c>
      <c r="B110" s="7" t="s">
        <v>15</v>
      </c>
      <c r="C110" s="1" t="s">
        <v>16</v>
      </c>
      <c r="D110" s="11" t="s">
        <v>17</v>
      </c>
      <c r="E110" s="28" t="s">
        <v>412</v>
      </c>
      <c r="F110" s="17" t="s">
        <v>440</v>
      </c>
      <c r="G110" s="11" t="s">
        <v>18</v>
      </c>
      <c r="H110" s="1"/>
      <c r="I110" s="2"/>
      <c r="J110" s="1"/>
      <c r="K110" s="7" t="s">
        <v>437</v>
      </c>
      <c r="L110" s="7" t="s">
        <v>245</v>
      </c>
      <c r="M110"/>
      <c r="N110"/>
    </row>
    <row r="111" spans="1:14" s="40" customFormat="1" ht="15.6" x14ac:dyDescent="0.3">
      <c r="A111" s="54" t="s">
        <v>246</v>
      </c>
      <c r="B111" s="11" t="s">
        <v>15</v>
      </c>
      <c r="C111" s="1" t="s">
        <v>16</v>
      </c>
      <c r="D111" s="11" t="s">
        <v>17</v>
      </c>
      <c r="E111" s="28" t="s">
        <v>424</v>
      </c>
      <c r="F111" s="17" t="s">
        <v>440</v>
      </c>
      <c r="G111" s="11" t="s">
        <v>18</v>
      </c>
      <c r="H111" s="1"/>
      <c r="I111" s="2"/>
      <c r="J111" s="1"/>
      <c r="K111" s="7" t="s">
        <v>437</v>
      </c>
      <c r="L111" s="7" t="s">
        <v>247</v>
      </c>
      <c r="M111"/>
      <c r="N111"/>
    </row>
    <row r="112" spans="1:14" ht="15.6" x14ac:dyDescent="0.3">
      <c r="A112" s="56" t="s">
        <v>251</v>
      </c>
      <c r="B112" s="35" t="s">
        <v>15</v>
      </c>
      <c r="C112" s="36" t="s">
        <v>16</v>
      </c>
      <c r="D112" s="35" t="s">
        <v>17</v>
      </c>
      <c r="E112" s="35" t="s">
        <v>415</v>
      </c>
      <c r="F112" s="37"/>
      <c r="G112" s="35" t="s">
        <v>252</v>
      </c>
      <c r="H112" s="36"/>
      <c r="I112" s="38"/>
      <c r="J112" s="36"/>
      <c r="K112" s="39" t="s">
        <v>435</v>
      </c>
      <c r="L112" s="39" t="s">
        <v>253</v>
      </c>
      <c r="M112" s="40"/>
      <c r="N112" s="40"/>
    </row>
    <row r="113" spans="1:14" ht="46.8" x14ac:dyDescent="0.3">
      <c r="A113" s="34" t="s">
        <v>254</v>
      </c>
      <c r="B113" s="35" t="s">
        <v>15</v>
      </c>
      <c r="C113" s="36" t="s">
        <v>16</v>
      </c>
      <c r="D113" s="35" t="s">
        <v>17</v>
      </c>
      <c r="E113" s="35" t="s">
        <v>415</v>
      </c>
      <c r="F113" s="37"/>
      <c r="G113" s="35" t="s">
        <v>255</v>
      </c>
      <c r="H113" s="36"/>
      <c r="I113" s="38"/>
      <c r="J113" s="36"/>
      <c r="K113" s="39" t="s">
        <v>445</v>
      </c>
      <c r="L113" s="39" t="s">
        <v>256</v>
      </c>
      <c r="M113" s="40"/>
      <c r="N113" s="40"/>
    </row>
    <row r="114" spans="1:14" ht="15.6" x14ac:dyDescent="0.3">
      <c r="A114" s="9" t="s">
        <v>257</v>
      </c>
      <c r="B114" s="9"/>
      <c r="C114" s="1" t="s">
        <v>16</v>
      </c>
      <c r="D114" s="9" t="s">
        <v>17</v>
      </c>
      <c r="E114" s="31" t="s">
        <v>425</v>
      </c>
      <c r="F114" s="17" t="s">
        <v>440</v>
      </c>
      <c r="G114" s="9" t="s">
        <v>61</v>
      </c>
      <c r="H114" s="1"/>
      <c r="I114" s="2"/>
      <c r="J114" s="1"/>
      <c r="K114" s="9" t="s">
        <v>437</v>
      </c>
      <c r="L114" s="7" t="s">
        <v>258</v>
      </c>
    </row>
    <row r="115" spans="1:14" ht="15.6" x14ac:dyDescent="0.3">
      <c r="A115" s="34" t="s">
        <v>259</v>
      </c>
      <c r="B115" s="35" t="s">
        <v>15</v>
      </c>
      <c r="C115" s="36" t="s">
        <v>16</v>
      </c>
      <c r="D115" s="35" t="s">
        <v>17</v>
      </c>
      <c r="E115" s="35" t="s">
        <v>415</v>
      </c>
      <c r="F115" s="37"/>
      <c r="G115" s="35" t="s">
        <v>18</v>
      </c>
      <c r="H115" s="36"/>
      <c r="I115" s="38"/>
      <c r="J115" s="36"/>
      <c r="K115" s="39" t="s">
        <v>435</v>
      </c>
      <c r="L115" s="39" t="s">
        <v>260</v>
      </c>
      <c r="M115" s="40"/>
      <c r="N115" s="40"/>
    </row>
    <row r="116" spans="1:14" ht="15.6" x14ac:dyDescent="0.3">
      <c r="A116" s="6" t="s">
        <v>261</v>
      </c>
      <c r="B116" s="11" t="s">
        <v>15</v>
      </c>
      <c r="C116" s="1" t="s">
        <v>46</v>
      </c>
      <c r="D116" s="11" t="s">
        <v>17</v>
      </c>
      <c r="E116" s="28" t="s">
        <v>429</v>
      </c>
      <c r="F116" s="17" t="s">
        <v>440</v>
      </c>
      <c r="G116" s="11"/>
      <c r="H116" s="1"/>
      <c r="I116" s="2"/>
      <c r="J116" s="1"/>
      <c r="K116" s="6" t="s">
        <v>466</v>
      </c>
      <c r="L116" s="7" t="s">
        <v>262</v>
      </c>
    </row>
    <row r="117" spans="1:14" ht="15.6" hidden="1" x14ac:dyDescent="0.3">
      <c r="A117" s="7"/>
      <c r="B117" s="7"/>
      <c r="C117" s="1"/>
      <c r="D117" s="7"/>
      <c r="E117" s="29"/>
      <c r="F117" s="17"/>
      <c r="G117" s="7"/>
      <c r="H117" s="1"/>
      <c r="I117" s="2"/>
      <c r="J117" s="1"/>
      <c r="K117" s="7"/>
      <c r="L117" s="12" t="s">
        <v>296</v>
      </c>
    </row>
    <row r="118" spans="1:14" ht="31.2" x14ac:dyDescent="0.3">
      <c r="A118" s="34" t="s">
        <v>263</v>
      </c>
      <c r="B118" s="35" t="s">
        <v>15</v>
      </c>
      <c r="C118" s="36" t="s">
        <v>16</v>
      </c>
      <c r="D118" s="35" t="s">
        <v>17</v>
      </c>
      <c r="E118" s="35" t="s">
        <v>415</v>
      </c>
      <c r="F118" s="37"/>
      <c r="G118" s="35" t="s">
        <v>18</v>
      </c>
      <c r="H118" s="36"/>
      <c r="I118" s="38"/>
      <c r="J118" s="36"/>
      <c r="K118" s="50" t="s">
        <v>464</v>
      </c>
      <c r="L118" s="39" t="s">
        <v>264</v>
      </c>
      <c r="M118" s="40"/>
      <c r="N118" s="40"/>
    </row>
    <row r="119" spans="1:14" s="40" customFormat="1" ht="15.6" x14ac:dyDescent="0.3">
      <c r="A119" s="34" t="s">
        <v>268</v>
      </c>
      <c r="B119" s="39" t="s">
        <v>269</v>
      </c>
      <c r="C119" s="36" t="s">
        <v>16</v>
      </c>
      <c r="D119" s="35" t="s">
        <v>17</v>
      </c>
      <c r="E119" s="35" t="s">
        <v>415</v>
      </c>
      <c r="F119" s="37"/>
      <c r="G119" s="35" t="s">
        <v>270</v>
      </c>
      <c r="H119" s="36"/>
      <c r="I119" s="38"/>
      <c r="J119" s="36"/>
      <c r="K119" s="39" t="s">
        <v>435</v>
      </c>
      <c r="L119" s="39" t="s">
        <v>271</v>
      </c>
    </row>
    <row r="120" spans="1:14" s="40" customFormat="1" ht="15.6" x14ac:dyDescent="0.3">
      <c r="A120" s="34" t="s">
        <v>274</v>
      </c>
      <c r="B120" s="35" t="s">
        <v>15</v>
      </c>
      <c r="C120" s="36" t="s">
        <v>16</v>
      </c>
      <c r="D120" s="35" t="s">
        <v>17</v>
      </c>
      <c r="E120" s="35" t="s">
        <v>415</v>
      </c>
      <c r="F120" s="37"/>
      <c r="G120" s="35" t="s">
        <v>18</v>
      </c>
      <c r="H120" s="36"/>
      <c r="I120" s="38"/>
      <c r="J120" s="36"/>
      <c r="K120" s="39" t="s">
        <v>465</v>
      </c>
      <c r="L120" s="39" t="s">
        <v>275</v>
      </c>
    </row>
    <row r="121" spans="1:14" ht="15.6" x14ac:dyDescent="0.3">
      <c r="A121" s="6" t="s">
        <v>278</v>
      </c>
      <c r="B121" s="7" t="s">
        <v>15</v>
      </c>
      <c r="C121" s="1" t="s">
        <v>16</v>
      </c>
      <c r="D121" s="11" t="s">
        <v>17</v>
      </c>
      <c r="E121" s="28" t="s">
        <v>422</v>
      </c>
      <c r="F121" s="17" t="s">
        <v>440</v>
      </c>
      <c r="G121" s="11" t="s">
        <v>18</v>
      </c>
      <c r="H121" s="1"/>
      <c r="I121" s="2"/>
      <c r="J121" s="1"/>
      <c r="K121" s="7" t="s">
        <v>437</v>
      </c>
      <c r="L121" s="7" t="s">
        <v>279</v>
      </c>
    </row>
    <row r="122" spans="1:14" ht="15.6" x14ac:dyDescent="0.3">
      <c r="A122" s="34" t="s">
        <v>280</v>
      </c>
      <c r="B122" s="35" t="s">
        <v>15</v>
      </c>
      <c r="C122" s="36" t="s">
        <v>16</v>
      </c>
      <c r="D122" s="35" t="s">
        <v>17</v>
      </c>
      <c r="E122" s="35" t="s">
        <v>415</v>
      </c>
      <c r="F122" s="37"/>
      <c r="G122" s="35" t="s">
        <v>23</v>
      </c>
      <c r="H122" s="36"/>
      <c r="I122" s="38"/>
      <c r="J122" s="36"/>
      <c r="K122" s="39" t="s">
        <v>435</v>
      </c>
      <c r="L122" s="39" t="s">
        <v>281</v>
      </c>
      <c r="M122" s="40"/>
      <c r="N122" s="40"/>
    </row>
    <row r="123" spans="1:14" ht="15.6" x14ac:dyDescent="0.3">
      <c r="A123" s="34" t="s">
        <v>282</v>
      </c>
      <c r="B123" s="35" t="s">
        <v>15</v>
      </c>
      <c r="C123" s="36" t="s">
        <v>16</v>
      </c>
      <c r="D123" s="35" t="s">
        <v>17</v>
      </c>
      <c r="E123" s="35" t="s">
        <v>415</v>
      </c>
      <c r="F123" s="37"/>
      <c r="G123" s="35" t="s">
        <v>283</v>
      </c>
      <c r="H123" s="36"/>
      <c r="I123" s="38"/>
      <c r="J123" s="36"/>
      <c r="K123" s="39" t="s">
        <v>467</v>
      </c>
      <c r="L123" s="39" t="s">
        <v>284</v>
      </c>
      <c r="M123" s="40"/>
      <c r="N123" s="40"/>
    </row>
    <row r="124" spans="1:14" s="40" customFormat="1" ht="15.6" x14ac:dyDescent="0.3">
      <c r="A124" s="54" t="s">
        <v>285</v>
      </c>
      <c r="B124" s="11" t="s">
        <v>15</v>
      </c>
      <c r="C124" s="1" t="s">
        <v>46</v>
      </c>
      <c r="D124" s="11" t="s">
        <v>17</v>
      </c>
      <c r="E124" s="28" t="s">
        <v>420</v>
      </c>
      <c r="F124" s="17" t="s">
        <v>440</v>
      </c>
      <c r="G124" s="11"/>
      <c r="H124" s="1"/>
      <c r="I124" s="2"/>
      <c r="J124" s="1"/>
      <c r="K124" s="7" t="s">
        <v>473</v>
      </c>
      <c r="L124" s="7" t="s">
        <v>286</v>
      </c>
      <c r="M124"/>
      <c r="N124"/>
    </row>
    <row r="125" spans="1:14" ht="15.6" x14ac:dyDescent="0.3">
      <c r="A125" s="6" t="s">
        <v>287</v>
      </c>
      <c r="B125" s="11" t="s">
        <v>15</v>
      </c>
      <c r="C125" s="1" t="s">
        <v>16</v>
      </c>
      <c r="D125" s="11" t="s">
        <v>17</v>
      </c>
      <c r="E125" s="28" t="s">
        <v>419</v>
      </c>
      <c r="F125" s="17" t="s">
        <v>440</v>
      </c>
      <c r="G125" s="11" t="s">
        <v>43</v>
      </c>
      <c r="H125" s="1"/>
      <c r="I125" s="2"/>
      <c r="J125" s="1"/>
      <c r="K125" s="52" t="s">
        <v>474</v>
      </c>
      <c r="L125" s="7" t="s">
        <v>288</v>
      </c>
    </row>
    <row r="126" spans="1:14" ht="15.6" x14ac:dyDescent="0.3">
      <c r="A126" s="7" t="s">
        <v>289</v>
      </c>
      <c r="B126" s="7" t="s">
        <v>15</v>
      </c>
      <c r="C126" s="1" t="s">
        <v>16</v>
      </c>
      <c r="D126" s="9" t="s">
        <v>17</v>
      </c>
      <c r="E126" s="29" t="s">
        <v>419</v>
      </c>
      <c r="F126" s="17" t="s">
        <v>440</v>
      </c>
      <c r="G126" s="7" t="s">
        <v>61</v>
      </c>
      <c r="H126" s="1"/>
      <c r="I126" s="2"/>
      <c r="J126" s="1"/>
      <c r="K126" s="7" t="s">
        <v>437</v>
      </c>
      <c r="L126" s="14" t="s">
        <v>290</v>
      </c>
    </row>
    <row r="127" spans="1:14" ht="15.6" x14ac:dyDescent="0.3">
      <c r="A127" s="6" t="s">
        <v>297</v>
      </c>
      <c r="B127" s="11" t="s">
        <v>15</v>
      </c>
      <c r="C127" s="1" t="s">
        <v>16</v>
      </c>
      <c r="D127" s="11" t="s">
        <v>17</v>
      </c>
      <c r="E127" s="28" t="s">
        <v>424</v>
      </c>
      <c r="F127" s="17" t="s">
        <v>440</v>
      </c>
      <c r="G127" s="11" t="s">
        <v>18</v>
      </c>
      <c r="H127" s="1"/>
      <c r="I127" s="2"/>
      <c r="J127" s="1"/>
      <c r="K127" s="53" t="s">
        <v>475</v>
      </c>
      <c r="L127" s="7" t="s">
        <v>298</v>
      </c>
    </row>
    <row r="128" spans="1:14" s="40" customFormat="1" ht="15.6" x14ac:dyDescent="0.3">
      <c r="A128" s="39" t="s">
        <v>299</v>
      </c>
      <c r="B128" s="39"/>
      <c r="C128" s="36" t="s">
        <v>16</v>
      </c>
      <c r="D128" s="48" t="s">
        <v>17</v>
      </c>
      <c r="E128" s="39" t="s">
        <v>415</v>
      </c>
      <c r="F128" s="37"/>
      <c r="G128" s="39" t="s">
        <v>18</v>
      </c>
      <c r="H128" s="36"/>
      <c r="I128" s="38"/>
      <c r="J128" s="36"/>
      <c r="K128" s="39" t="s">
        <v>435</v>
      </c>
      <c r="L128" s="39" t="s">
        <v>300</v>
      </c>
    </row>
    <row r="129" spans="1:14" ht="15.6" x14ac:dyDescent="0.3">
      <c r="A129" s="56" t="s">
        <v>301</v>
      </c>
      <c r="B129" s="35" t="s">
        <v>15</v>
      </c>
      <c r="C129" s="36" t="s">
        <v>16</v>
      </c>
      <c r="D129" s="35" t="s">
        <v>17</v>
      </c>
      <c r="E129" s="35" t="s">
        <v>415</v>
      </c>
      <c r="F129" s="37"/>
      <c r="G129" s="35" t="s">
        <v>18</v>
      </c>
      <c r="H129" s="36"/>
      <c r="I129" s="38"/>
      <c r="J129" s="36"/>
      <c r="K129" s="39" t="s">
        <v>468</v>
      </c>
      <c r="L129" s="39" t="s">
        <v>302</v>
      </c>
      <c r="M129" s="40"/>
      <c r="N129" s="40"/>
    </row>
    <row r="130" spans="1:14" ht="15.6" x14ac:dyDescent="0.3">
      <c r="A130" s="21" t="s">
        <v>303</v>
      </c>
      <c r="B130" s="22" t="s">
        <v>15</v>
      </c>
      <c r="C130" s="23" t="s">
        <v>46</v>
      </c>
      <c r="D130" s="22" t="s">
        <v>17</v>
      </c>
      <c r="E130" s="28" t="s">
        <v>430</v>
      </c>
      <c r="F130" s="24" t="s">
        <v>440</v>
      </c>
      <c r="G130" s="22" t="s">
        <v>304</v>
      </c>
      <c r="H130" s="23"/>
      <c r="I130" s="25"/>
      <c r="J130" s="23"/>
      <c r="K130" s="14" t="s">
        <v>437</v>
      </c>
      <c r="L130" s="14" t="s">
        <v>305</v>
      </c>
    </row>
    <row r="131" spans="1:14" s="40" customFormat="1" ht="15.6" x14ac:dyDescent="0.3">
      <c r="A131" s="34" t="s">
        <v>312</v>
      </c>
      <c r="B131" s="35" t="s">
        <v>15</v>
      </c>
      <c r="C131" s="36" t="s">
        <v>16</v>
      </c>
      <c r="D131" s="35" t="s">
        <v>17</v>
      </c>
      <c r="E131" s="35" t="s">
        <v>415</v>
      </c>
      <c r="F131" s="37"/>
      <c r="G131" s="35" t="s">
        <v>23</v>
      </c>
      <c r="H131" s="36"/>
      <c r="I131" s="38"/>
      <c r="J131" s="36"/>
      <c r="K131" s="39" t="s">
        <v>435</v>
      </c>
      <c r="L131" s="39" t="s">
        <v>313</v>
      </c>
    </row>
    <row r="132" spans="1:14" ht="15.6" hidden="1" x14ac:dyDescent="0.3">
      <c r="A132" s="7"/>
      <c r="B132" s="7"/>
      <c r="C132" s="1"/>
      <c r="D132" s="7"/>
      <c r="E132" s="29"/>
      <c r="F132" s="17"/>
      <c r="G132" s="7"/>
      <c r="H132" s="1"/>
      <c r="I132" s="2"/>
      <c r="J132" s="1"/>
      <c r="K132" s="7"/>
      <c r="L132" s="12" t="s">
        <v>329</v>
      </c>
    </row>
    <row r="133" spans="1:14" ht="15.6" x14ac:dyDescent="0.3">
      <c r="A133" s="6" t="s">
        <v>316</v>
      </c>
      <c r="B133" s="11" t="s">
        <v>15</v>
      </c>
      <c r="C133" s="1" t="s">
        <v>16</v>
      </c>
      <c r="D133" s="11" t="s">
        <v>17</v>
      </c>
      <c r="E133" s="28" t="s">
        <v>431</v>
      </c>
      <c r="F133" s="17" t="s">
        <v>440</v>
      </c>
      <c r="G133" s="11" t="s">
        <v>18</v>
      </c>
      <c r="H133" s="1"/>
      <c r="I133" s="2"/>
      <c r="J133" s="1"/>
      <c r="K133" s="11" t="s">
        <v>476</v>
      </c>
      <c r="L133" s="7" t="s">
        <v>317</v>
      </c>
    </row>
    <row r="134" spans="1:14" ht="15.6" hidden="1" x14ac:dyDescent="0.3">
      <c r="A134" s="6"/>
      <c r="B134" s="11" t="s">
        <v>15</v>
      </c>
      <c r="C134" s="1"/>
      <c r="D134" s="11"/>
      <c r="E134" s="28"/>
      <c r="F134" s="17"/>
      <c r="G134" s="11"/>
      <c r="H134" s="1"/>
      <c r="I134" s="2"/>
      <c r="J134" s="1"/>
      <c r="K134" s="7" t="s">
        <v>332</v>
      </c>
      <c r="L134" s="12" t="s">
        <v>333</v>
      </c>
    </row>
    <row r="135" spans="1:14" s="40" customFormat="1" ht="15.6" x14ac:dyDescent="0.3">
      <c r="A135" s="6" t="s">
        <v>318</v>
      </c>
      <c r="B135" s="11" t="s">
        <v>15</v>
      </c>
      <c r="C135" s="1" t="s">
        <v>16</v>
      </c>
      <c r="D135" s="11" t="s">
        <v>17</v>
      </c>
      <c r="E135" s="28" t="s">
        <v>420</v>
      </c>
      <c r="F135" s="17" t="s">
        <v>440</v>
      </c>
      <c r="G135" s="11"/>
      <c r="H135" s="1"/>
      <c r="I135" s="2"/>
      <c r="J135" s="1"/>
      <c r="K135" s="7" t="s">
        <v>437</v>
      </c>
      <c r="L135" s="7" t="s">
        <v>319</v>
      </c>
      <c r="M135"/>
      <c r="N135"/>
    </row>
    <row r="136" spans="1:14" ht="15.6" x14ac:dyDescent="0.3">
      <c r="A136" s="34" t="s">
        <v>320</v>
      </c>
      <c r="B136" s="35" t="s">
        <v>15</v>
      </c>
      <c r="C136" s="36" t="s">
        <v>16</v>
      </c>
      <c r="D136" s="35" t="s">
        <v>17</v>
      </c>
      <c r="E136" s="35" t="s">
        <v>415</v>
      </c>
      <c r="F136" s="37"/>
      <c r="G136" s="35" t="s">
        <v>321</v>
      </c>
      <c r="H136" s="36"/>
      <c r="I136" s="38"/>
      <c r="J136" s="36"/>
      <c r="K136" s="35" t="s">
        <v>469</v>
      </c>
      <c r="L136" s="39" t="s">
        <v>322</v>
      </c>
      <c r="M136" s="40"/>
      <c r="N136" s="40"/>
    </row>
    <row r="137" spans="1:14" s="40" customFormat="1" ht="15.6" x14ac:dyDescent="0.3">
      <c r="A137" s="54" t="s">
        <v>323</v>
      </c>
      <c r="B137" s="11" t="s">
        <v>15</v>
      </c>
      <c r="C137" s="1" t="s">
        <v>16</v>
      </c>
      <c r="D137" s="11" t="s">
        <v>17</v>
      </c>
      <c r="E137" s="28" t="s">
        <v>428</v>
      </c>
      <c r="F137" s="17" t="s">
        <v>440</v>
      </c>
      <c r="G137" s="11"/>
      <c r="H137" s="1"/>
      <c r="I137" s="2"/>
      <c r="J137" s="1"/>
      <c r="K137" s="7" t="s">
        <v>477</v>
      </c>
      <c r="L137" s="7" t="s">
        <v>324</v>
      </c>
      <c r="M137"/>
      <c r="N137"/>
    </row>
    <row r="138" spans="1:14" s="40" customFormat="1" ht="15.6" x14ac:dyDescent="0.3">
      <c r="A138" s="6" t="s">
        <v>325</v>
      </c>
      <c r="B138" s="7" t="s">
        <v>15</v>
      </c>
      <c r="C138" s="1" t="s">
        <v>16</v>
      </c>
      <c r="D138" s="11" t="s">
        <v>17</v>
      </c>
      <c r="E138" s="28" t="s">
        <v>422</v>
      </c>
      <c r="F138" s="17" t="s">
        <v>440</v>
      </c>
      <c r="G138" s="11" t="s">
        <v>18</v>
      </c>
      <c r="H138" s="1"/>
      <c r="I138" s="2"/>
      <c r="J138" s="1"/>
      <c r="K138" s="7" t="s">
        <v>437</v>
      </c>
      <c r="L138" s="7" t="s">
        <v>326</v>
      </c>
      <c r="M138"/>
      <c r="N138"/>
    </row>
    <row r="139" spans="1:14" ht="46.8" x14ac:dyDescent="0.3">
      <c r="A139" s="34" t="s">
        <v>327</v>
      </c>
      <c r="B139" s="35" t="s">
        <v>15</v>
      </c>
      <c r="C139" s="36" t="s">
        <v>16</v>
      </c>
      <c r="D139" s="35" t="s">
        <v>17</v>
      </c>
      <c r="E139" s="35" t="s">
        <v>415</v>
      </c>
      <c r="F139" s="37"/>
      <c r="G139" s="35" t="s">
        <v>18</v>
      </c>
      <c r="H139" s="36"/>
      <c r="I139" s="38"/>
      <c r="J139" s="36"/>
      <c r="K139" s="39" t="s">
        <v>470</v>
      </c>
      <c r="L139" s="39" t="s">
        <v>328</v>
      </c>
      <c r="M139" s="40"/>
      <c r="N139" s="40"/>
    </row>
    <row r="140" spans="1:14" ht="15.6" x14ac:dyDescent="0.3">
      <c r="A140" s="6" t="s">
        <v>330</v>
      </c>
      <c r="B140" s="7" t="s">
        <v>15</v>
      </c>
      <c r="C140" s="1" t="s">
        <v>16</v>
      </c>
      <c r="D140" s="11" t="s">
        <v>17</v>
      </c>
      <c r="E140" s="28" t="s">
        <v>422</v>
      </c>
      <c r="F140" s="17" t="s">
        <v>440</v>
      </c>
      <c r="G140" s="11" t="s">
        <v>18</v>
      </c>
      <c r="H140" s="1"/>
      <c r="I140" s="2"/>
      <c r="J140" s="1"/>
      <c r="K140" s="7" t="s">
        <v>437</v>
      </c>
      <c r="L140" s="7" t="s">
        <v>331</v>
      </c>
    </row>
    <row r="141" spans="1:14" s="40" customFormat="1" ht="15.6" x14ac:dyDescent="0.3">
      <c r="A141" s="34" t="s">
        <v>334</v>
      </c>
      <c r="B141" s="35" t="s">
        <v>15</v>
      </c>
      <c r="C141" s="36" t="s">
        <v>16</v>
      </c>
      <c r="D141" s="35" t="s">
        <v>17</v>
      </c>
      <c r="E141" s="35" t="s">
        <v>415</v>
      </c>
      <c r="F141" s="37"/>
      <c r="G141" s="35" t="s">
        <v>23</v>
      </c>
      <c r="H141" s="36"/>
      <c r="I141" s="38"/>
      <c r="J141" s="36"/>
      <c r="K141" s="39" t="s">
        <v>471</v>
      </c>
      <c r="L141" s="39" t="s">
        <v>335</v>
      </c>
    </row>
    <row r="142" spans="1:14" ht="46.8" x14ac:dyDescent="0.3">
      <c r="A142" s="34" t="s">
        <v>338</v>
      </c>
      <c r="B142" s="35" t="s">
        <v>15</v>
      </c>
      <c r="C142" s="36" t="s">
        <v>16</v>
      </c>
      <c r="D142" s="35" t="s">
        <v>17</v>
      </c>
      <c r="E142" s="35" t="s">
        <v>415</v>
      </c>
      <c r="F142" s="37"/>
      <c r="G142" s="35" t="s">
        <v>23</v>
      </c>
      <c r="H142" s="36"/>
      <c r="I142" s="38"/>
      <c r="J142" s="36"/>
      <c r="K142" s="39" t="s">
        <v>472</v>
      </c>
      <c r="L142" s="39" t="s">
        <v>339</v>
      </c>
      <c r="M142" s="40"/>
      <c r="N142" s="40"/>
    </row>
    <row r="143" spans="1:14" ht="15.6" x14ac:dyDescent="0.3">
      <c r="A143" s="34" t="s">
        <v>340</v>
      </c>
      <c r="B143" s="39" t="s">
        <v>15</v>
      </c>
      <c r="C143" s="36" t="s">
        <v>16</v>
      </c>
      <c r="D143" s="35" t="s">
        <v>17</v>
      </c>
      <c r="E143" s="35" t="s">
        <v>415</v>
      </c>
      <c r="F143" s="37"/>
      <c r="G143" s="35" t="s">
        <v>18</v>
      </c>
      <c r="H143" s="36"/>
      <c r="I143" s="38"/>
      <c r="J143" s="36"/>
      <c r="K143" s="39" t="s">
        <v>435</v>
      </c>
      <c r="L143" s="39" t="s">
        <v>341</v>
      </c>
      <c r="M143" s="40"/>
      <c r="N143" s="40"/>
    </row>
    <row r="144" spans="1:14" ht="15.6" x14ac:dyDescent="0.3">
      <c r="A144" s="6" t="s">
        <v>342</v>
      </c>
      <c r="B144" s="11" t="s">
        <v>15</v>
      </c>
      <c r="C144" s="1" t="s">
        <v>16</v>
      </c>
      <c r="D144" s="11" t="s">
        <v>17</v>
      </c>
      <c r="E144" s="28" t="s">
        <v>424</v>
      </c>
      <c r="F144" s="17" t="s">
        <v>440</v>
      </c>
      <c r="G144" s="11" t="s">
        <v>18</v>
      </c>
      <c r="H144" s="1"/>
      <c r="I144" s="2"/>
      <c r="J144" s="1"/>
      <c r="K144" s="53" t="s">
        <v>478</v>
      </c>
      <c r="L144" s="7" t="s">
        <v>343</v>
      </c>
    </row>
    <row r="145" spans="1:14" ht="15.6" x14ac:dyDescent="0.3">
      <c r="A145" s="6" t="s">
        <v>344</v>
      </c>
      <c r="B145" s="11" t="s">
        <v>15</v>
      </c>
      <c r="C145" s="1" t="s">
        <v>16</v>
      </c>
      <c r="D145" s="11" t="s">
        <v>17</v>
      </c>
      <c r="E145" s="28" t="s">
        <v>424</v>
      </c>
      <c r="F145" s="17" t="s">
        <v>440</v>
      </c>
      <c r="G145" s="11" t="s">
        <v>18</v>
      </c>
      <c r="H145" s="1"/>
      <c r="I145" s="2"/>
      <c r="J145" s="1"/>
      <c r="K145" s="7" t="s">
        <v>437</v>
      </c>
      <c r="L145" s="7" t="s">
        <v>345</v>
      </c>
    </row>
    <row r="146" spans="1:14" ht="15.6" x14ac:dyDescent="0.3">
      <c r="A146" s="34" t="s">
        <v>346</v>
      </c>
      <c r="B146" s="35" t="s">
        <v>15</v>
      </c>
      <c r="C146" s="36" t="s">
        <v>16</v>
      </c>
      <c r="D146" s="35" t="s">
        <v>17</v>
      </c>
      <c r="E146" s="35" t="s">
        <v>415</v>
      </c>
      <c r="F146" s="37"/>
      <c r="G146" s="35" t="s">
        <v>18</v>
      </c>
      <c r="H146" s="36"/>
      <c r="I146" s="38"/>
      <c r="J146" s="36"/>
      <c r="K146" s="39" t="s">
        <v>435</v>
      </c>
      <c r="L146" s="39" t="s">
        <v>347</v>
      </c>
      <c r="M146" s="40"/>
      <c r="N146" s="40"/>
    </row>
    <row r="147" spans="1:14" ht="15.6" hidden="1" x14ac:dyDescent="0.3">
      <c r="A147" s="7" t="s">
        <v>360</v>
      </c>
      <c r="B147" s="7" t="s">
        <v>361</v>
      </c>
      <c r="C147" s="1" t="s">
        <v>83</v>
      </c>
      <c r="D147" s="7" t="s">
        <v>84</v>
      </c>
      <c r="E147" s="29" t="s">
        <v>362</v>
      </c>
      <c r="F147" s="17"/>
      <c r="G147" s="7" t="s">
        <v>18</v>
      </c>
      <c r="H147" s="1"/>
      <c r="I147" s="2"/>
      <c r="J147" s="1"/>
      <c r="K147" s="11"/>
      <c r="L147" s="11" t="s">
        <v>363</v>
      </c>
    </row>
    <row r="148" spans="1:14" ht="15.6" hidden="1" x14ac:dyDescent="0.3">
      <c r="A148" s="7"/>
      <c r="B148" s="7"/>
      <c r="C148" s="1"/>
      <c r="D148" s="7"/>
      <c r="E148" s="29"/>
      <c r="F148" s="17"/>
      <c r="G148" s="7"/>
      <c r="H148" s="1"/>
      <c r="I148" s="2"/>
      <c r="J148" s="1"/>
      <c r="K148" s="7"/>
      <c r="L148" s="12" t="s">
        <v>364</v>
      </c>
    </row>
    <row r="149" spans="1:14" ht="15.6" hidden="1" x14ac:dyDescent="0.3">
      <c r="A149" s="7"/>
      <c r="B149" s="7"/>
      <c r="C149" s="1"/>
      <c r="D149" s="7"/>
      <c r="E149" s="29"/>
      <c r="F149" s="17"/>
      <c r="G149" s="7"/>
      <c r="H149" s="1"/>
      <c r="I149" s="2"/>
      <c r="J149" s="1"/>
      <c r="K149" s="7"/>
      <c r="L149" s="16" t="s">
        <v>365</v>
      </c>
    </row>
    <row r="150" spans="1:14" ht="15.6" hidden="1" x14ac:dyDescent="0.3">
      <c r="A150" s="7"/>
      <c r="B150" s="7"/>
      <c r="C150" s="1"/>
      <c r="D150" s="7"/>
      <c r="E150" s="29"/>
      <c r="F150" s="17"/>
      <c r="G150" s="7"/>
      <c r="H150" s="1"/>
      <c r="I150" s="2"/>
      <c r="J150" s="1"/>
      <c r="K150" s="7"/>
      <c r="L150" s="15" t="s">
        <v>366</v>
      </c>
      <c r="M150" t="s">
        <v>367</v>
      </c>
    </row>
    <row r="151" spans="1:14" ht="15.6" hidden="1" x14ac:dyDescent="0.3">
      <c r="A151" s="7"/>
      <c r="B151" s="7"/>
      <c r="C151" s="1"/>
      <c r="D151" s="7"/>
      <c r="E151" s="29"/>
      <c r="F151" s="17"/>
      <c r="G151" s="7"/>
      <c r="H151" s="1"/>
      <c r="I151" s="2"/>
      <c r="J151" s="1"/>
      <c r="K151" s="7"/>
      <c r="L151" s="16" t="s">
        <v>368</v>
      </c>
      <c r="M151" t="s">
        <v>369</v>
      </c>
    </row>
    <row r="152" spans="1:14" ht="15.6" hidden="1" x14ac:dyDescent="0.3">
      <c r="A152" s="7" t="s">
        <v>370</v>
      </c>
      <c r="B152" s="7" t="s">
        <v>371</v>
      </c>
      <c r="C152" s="1" t="s">
        <v>83</v>
      </c>
      <c r="D152" s="7" t="s">
        <v>152</v>
      </c>
      <c r="E152" s="29" t="s">
        <v>372</v>
      </c>
      <c r="F152" s="17"/>
      <c r="G152" s="7" t="s">
        <v>373</v>
      </c>
      <c r="H152" s="1"/>
      <c r="I152" s="2"/>
      <c r="J152" s="1"/>
      <c r="K152" s="7"/>
      <c r="L152" s="16" t="s">
        <v>374</v>
      </c>
    </row>
    <row r="153" spans="1:14" ht="15.6" x14ac:dyDescent="0.3">
      <c r="A153" s="6" t="s">
        <v>348</v>
      </c>
      <c r="B153" s="11" t="s">
        <v>15</v>
      </c>
      <c r="C153" s="1" t="s">
        <v>16</v>
      </c>
      <c r="D153" s="11" t="s">
        <v>17</v>
      </c>
      <c r="E153" s="28" t="s">
        <v>424</v>
      </c>
      <c r="F153" s="17" t="s">
        <v>440</v>
      </c>
      <c r="G153" s="11" t="s">
        <v>18</v>
      </c>
      <c r="H153" s="1"/>
      <c r="I153" s="2"/>
      <c r="J153" s="1"/>
      <c r="K153" s="52" t="s">
        <v>479</v>
      </c>
      <c r="L153" s="7" t="s">
        <v>349</v>
      </c>
    </row>
    <row r="154" spans="1:14" ht="15.6" x14ac:dyDescent="0.3">
      <c r="A154" s="6" t="s">
        <v>353</v>
      </c>
      <c r="B154" s="11" t="s">
        <v>15</v>
      </c>
      <c r="C154" s="1" t="s">
        <v>16</v>
      </c>
      <c r="D154" s="11" t="s">
        <v>17</v>
      </c>
      <c r="E154" s="28" t="s">
        <v>424</v>
      </c>
      <c r="F154" s="17" t="s">
        <v>440</v>
      </c>
      <c r="G154" s="11" t="s">
        <v>18</v>
      </c>
      <c r="H154" s="1"/>
      <c r="I154" s="2"/>
      <c r="J154" s="1"/>
      <c r="K154" s="7" t="s">
        <v>480</v>
      </c>
      <c r="L154" s="7" t="s">
        <v>354</v>
      </c>
    </row>
    <row r="155" spans="1:14" ht="15.6" x14ac:dyDescent="0.3">
      <c r="A155" s="6" t="s">
        <v>355</v>
      </c>
      <c r="B155" s="11" t="s">
        <v>15</v>
      </c>
      <c r="C155" s="1" t="s">
        <v>16</v>
      </c>
      <c r="D155" s="11" t="s">
        <v>17</v>
      </c>
      <c r="E155" s="28" t="s">
        <v>413</v>
      </c>
      <c r="F155" s="17" t="s">
        <v>440</v>
      </c>
      <c r="G155" s="11" t="s">
        <v>356</v>
      </c>
      <c r="H155" s="1"/>
      <c r="I155" s="2"/>
      <c r="J155" s="1"/>
      <c r="K155" s="7" t="s">
        <v>437</v>
      </c>
      <c r="L155" s="7" t="s">
        <v>357</v>
      </c>
    </row>
    <row r="156" spans="1:14" ht="15.6" x14ac:dyDescent="0.3">
      <c r="A156" s="6" t="s">
        <v>358</v>
      </c>
      <c r="B156" s="11" t="s">
        <v>15</v>
      </c>
      <c r="C156" s="1" t="s">
        <v>16</v>
      </c>
      <c r="D156" s="11" t="s">
        <v>17</v>
      </c>
      <c r="E156" s="28" t="s">
        <v>424</v>
      </c>
      <c r="F156" s="17" t="s">
        <v>440</v>
      </c>
      <c r="G156" s="11" t="s">
        <v>18</v>
      </c>
      <c r="H156" s="1"/>
      <c r="I156" s="2"/>
      <c r="J156" s="1"/>
      <c r="K156" s="7" t="s">
        <v>481</v>
      </c>
      <c r="L156" s="7" t="s">
        <v>359</v>
      </c>
    </row>
    <row r="157" spans="1:14" ht="15.6" hidden="1" x14ac:dyDescent="0.3">
      <c r="A157" s="7" t="s">
        <v>380</v>
      </c>
      <c r="B157" s="7" t="s">
        <v>269</v>
      </c>
      <c r="C157" s="1" t="s">
        <v>83</v>
      </c>
      <c r="D157" s="7" t="s">
        <v>381</v>
      </c>
      <c r="E157" s="29" t="s">
        <v>382</v>
      </c>
      <c r="F157" s="17"/>
      <c r="G157" s="7" t="s">
        <v>383</v>
      </c>
      <c r="H157" s="1"/>
      <c r="I157" s="2"/>
      <c r="J157" s="1"/>
      <c r="K157" s="7"/>
      <c r="L157" s="16"/>
    </row>
    <row r="158" spans="1:14" ht="15.6" hidden="1" x14ac:dyDescent="0.3">
      <c r="A158" s="7" t="s">
        <v>384</v>
      </c>
      <c r="B158" s="7" t="s">
        <v>15</v>
      </c>
      <c r="C158" s="1" t="s">
        <v>83</v>
      </c>
      <c r="D158" s="7" t="s">
        <v>381</v>
      </c>
      <c r="E158" s="29" t="s">
        <v>382</v>
      </c>
      <c r="F158" s="17"/>
      <c r="G158" s="7"/>
      <c r="H158" s="1"/>
      <c r="I158" s="2"/>
      <c r="J158" s="1"/>
      <c r="K158" s="27"/>
      <c r="L158" s="16"/>
      <c r="N158" t="s">
        <v>385</v>
      </c>
    </row>
    <row r="159" spans="1:14" ht="15.6" x14ac:dyDescent="0.3">
      <c r="A159" s="7" t="s">
        <v>375</v>
      </c>
      <c r="B159" s="7" t="s">
        <v>361</v>
      </c>
      <c r="C159" s="1" t="s">
        <v>16</v>
      </c>
      <c r="D159" s="7" t="s">
        <v>17</v>
      </c>
      <c r="E159" s="28" t="s">
        <v>414</v>
      </c>
      <c r="F159" s="17" t="s">
        <v>440</v>
      </c>
      <c r="G159" s="7" t="s">
        <v>61</v>
      </c>
      <c r="H159" s="1"/>
      <c r="I159" s="2"/>
      <c r="J159" s="1"/>
      <c r="K159" s="7" t="s">
        <v>437</v>
      </c>
      <c r="L159" s="16"/>
    </row>
    <row r="160" spans="1:14" ht="15.6" hidden="1" x14ac:dyDescent="0.3">
      <c r="A160" s="7">
        <v>102327</v>
      </c>
      <c r="B160" s="7" t="s">
        <v>389</v>
      </c>
      <c r="C160" s="1"/>
      <c r="D160" s="7"/>
      <c r="E160" s="29"/>
      <c r="F160" s="17"/>
      <c r="G160" s="7"/>
      <c r="H160" s="1"/>
      <c r="I160" s="2"/>
      <c r="J160" s="1"/>
      <c r="K160" s="7"/>
      <c r="L160" s="16"/>
      <c r="N160" t="s">
        <v>390</v>
      </c>
    </row>
    <row r="161" spans="1:14" s="40" customFormat="1" ht="15.6" x14ac:dyDescent="0.3">
      <c r="A161" s="7"/>
      <c r="B161" s="7" t="s">
        <v>386</v>
      </c>
      <c r="C161" s="1" t="s">
        <v>46</v>
      </c>
      <c r="D161" s="7" t="s">
        <v>17</v>
      </c>
      <c r="E161" s="29" t="s">
        <v>387</v>
      </c>
      <c r="F161" s="17"/>
      <c r="G161" t="s">
        <v>388</v>
      </c>
      <c r="H161" s="1"/>
      <c r="I161" s="2"/>
      <c r="J161" s="1"/>
      <c r="K161" s="7"/>
      <c r="L161" s="16"/>
      <c r="M161"/>
      <c r="N161"/>
    </row>
    <row r="162" spans="1:14" ht="15.6" hidden="1" x14ac:dyDescent="0.3">
      <c r="A162" s="7"/>
      <c r="B162" s="7"/>
      <c r="C162" s="1"/>
      <c r="D162" s="7"/>
      <c r="E162" s="29"/>
      <c r="F162" s="17"/>
      <c r="G162" s="7"/>
      <c r="H162" s="1"/>
      <c r="I162" s="2"/>
      <c r="J162" s="1"/>
      <c r="K162" s="7"/>
      <c r="L162" s="16"/>
      <c r="N162" t="s">
        <v>393</v>
      </c>
    </row>
    <row r="163" spans="1:14" ht="15.6" x14ac:dyDescent="0.3">
      <c r="A163" s="39" t="s">
        <v>391</v>
      </c>
      <c r="B163" s="39" t="s">
        <v>15</v>
      </c>
      <c r="C163" s="36" t="s">
        <v>16</v>
      </c>
      <c r="D163" s="39" t="s">
        <v>17</v>
      </c>
      <c r="E163" s="39" t="s">
        <v>415</v>
      </c>
      <c r="F163" s="37"/>
      <c r="G163" s="39" t="s">
        <v>392</v>
      </c>
      <c r="H163" s="36"/>
      <c r="I163" s="38"/>
      <c r="J163" s="36"/>
      <c r="K163" s="39" t="s">
        <v>435</v>
      </c>
      <c r="L163" s="49"/>
      <c r="M163" s="40"/>
      <c r="N163" s="40"/>
    </row>
    <row r="164" spans="1:14" ht="15.6" hidden="1" x14ac:dyDescent="0.3">
      <c r="A164" s="7" t="s">
        <v>395</v>
      </c>
      <c r="B164" s="7" t="s">
        <v>15</v>
      </c>
      <c r="C164" s="1" t="s">
        <v>83</v>
      </c>
      <c r="D164" s="7" t="s">
        <v>381</v>
      </c>
      <c r="E164" s="29" t="s">
        <v>382</v>
      </c>
      <c r="F164" s="17"/>
      <c r="G164" s="7" t="s">
        <v>396</v>
      </c>
      <c r="H164" s="1"/>
      <c r="I164" s="2"/>
      <c r="J164" s="1"/>
      <c r="K164" s="7"/>
      <c r="L164" s="16"/>
    </row>
    <row r="165" spans="1:14" ht="15.6" x14ac:dyDescent="0.3">
      <c r="A165" s="7" t="s">
        <v>394</v>
      </c>
      <c r="B165" s="7" t="s">
        <v>361</v>
      </c>
      <c r="C165" s="1" t="s">
        <v>16</v>
      </c>
      <c r="D165" s="7" t="s">
        <v>17</v>
      </c>
      <c r="E165" s="28" t="s">
        <v>418</v>
      </c>
      <c r="F165" s="17" t="s">
        <v>440</v>
      </c>
      <c r="G165" s="7"/>
      <c r="H165" s="1"/>
      <c r="I165" s="2"/>
      <c r="J165" s="1"/>
      <c r="K165" s="7" t="s">
        <v>437</v>
      </c>
      <c r="L165" s="16"/>
    </row>
    <row r="166" spans="1:14" ht="15.6" hidden="1" x14ac:dyDescent="0.3">
      <c r="A166" s="7"/>
      <c r="B166" s="7"/>
      <c r="C166" s="1"/>
      <c r="D166" s="7"/>
      <c r="E166" s="29"/>
      <c r="F166" s="17"/>
      <c r="G166" s="7"/>
      <c r="H166" s="1"/>
      <c r="I166" s="2"/>
      <c r="J166" s="1"/>
      <c r="K166" s="7"/>
      <c r="L166" s="16"/>
    </row>
    <row r="167" spans="1:14" ht="15.6" hidden="1" x14ac:dyDescent="0.3">
      <c r="A167" s="7" t="s">
        <v>398</v>
      </c>
      <c r="B167" s="7" t="s">
        <v>361</v>
      </c>
      <c r="C167" s="1" t="s">
        <v>83</v>
      </c>
      <c r="D167" s="7" t="s">
        <v>381</v>
      </c>
      <c r="E167" s="29" t="s">
        <v>399</v>
      </c>
      <c r="F167" s="17"/>
      <c r="G167" s="7" t="s">
        <v>18</v>
      </c>
      <c r="H167" s="1"/>
      <c r="I167" s="2"/>
      <c r="J167" s="1"/>
      <c r="K167" s="7"/>
      <c r="L167" s="16"/>
    </row>
    <row r="168" spans="1:14" ht="15.6" hidden="1" x14ac:dyDescent="0.3">
      <c r="A168" s="7" t="s">
        <v>400</v>
      </c>
      <c r="B168" s="7" t="s">
        <v>401</v>
      </c>
      <c r="C168" s="1" t="s">
        <v>83</v>
      </c>
      <c r="D168" s="7" t="s">
        <v>84</v>
      </c>
      <c r="E168" s="29" t="s">
        <v>402</v>
      </c>
      <c r="F168" s="24"/>
      <c r="G168" s="14" t="s">
        <v>391</v>
      </c>
      <c r="H168" s="23"/>
      <c r="I168" s="25"/>
      <c r="J168" s="23"/>
      <c r="K168" s="14"/>
      <c r="L168" s="16"/>
      <c r="M168" s="26"/>
    </row>
    <row r="169" spans="1:14" ht="15.6" hidden="1" x14ac:dyDescent="0.3">
      <c r="A169" s="7"/>
      <c r="B169" s="7" t="s">
        <v>15</v>
      </c>
      <c r="C169" s="1" t="s">
        <v>83</v>
      </c>
      <c r="D169" s="7" t="s">
        <v>381</v>
      </c>
      <c r="E169" s="29" t="s">
        <v>403</v>
      </c>
      <c r="F169" s="17"/>
      <c r="G169" s="7" t="s">
        <v>404</v>
      </c>
      <c r="H169" s="1"/>
      <c r="I169" s="2"/>
      <c r="J169" s="1"/>
      <c r="K169" s="7"/>
      <c r="L169" s="16"/>
    </row>
    <row r="170" spans="1:14" ht="15.6" x14ac:dyDescent="0.3">
      <c r="E170" s="32"/>
      <c r="M170" s="7"/>
    </row>
    <row r="171" spans="1:14" ht="15.6" x14ac:dyDescent="0.3">
      <c r="M171" s="7"/>
    </row>
    <row r="172" spans="1:14" ht="15.6" x14ac:dyDescent="0.3">
      <c r="M172" s="7"/>
    </row>
  </sheetData>
  <conditionalFormatting sqref="B15:B17">
    <cfRule type="containsText" dxfId="100" priority="417" operator="containsText" text="Off-site Disposal">
      <formula>NOT(ISERROR(SEARCH("Off-site Disposal",B15)))</formula>
    </cfRule>
    <cfRule type="containsText" dxfId="99" priority="415" operator="containsText" text="IT Comms Room">
      <formula>NOT(ISERROR(SEARCH("IT Comms Room",B15)))</formula>
    </cfRule>
    <cfRule type="containsText" dxfId="98" priority="414" operator="containsText" text="External GLH">
      <formula>NOT(ISERROR(SEARCH("External GLH",B15)))</formula>
    </cfRule>
    <cfRule type="containsText" dxfId="97" priority="416" operator="containsText" text="Basement Disposal Store">
      <formula>NOT(ISERROR(SEARCH("Basement Disposal Store",B15)))</formula>
    </cfRule>
  </conditionalFormatting>
  <conditionalFormatting sqref="B20">
    <cfRule type="containsText" dxfId="96" priority="413" operator="containsText" text="Off-site Disposal">
      <formula>NOT(ISERROR(SEARCH("Off-site Disposal",B20)))</formula>
    </cfRule>
    <cfRule type="containsText" dxfId="95" priority="412" operator="containsText" text="Basement Disposal Store">
      <formula>NOT(ISERROR(SEARCH("Basement Disposal Store",B20)))</formula>
    </cfRule>
    <cfRule type="containsText" dxfId="94" priority="411" operator="containsText" text="IT Comms Room">
      <formula>NOT(ISERROR(SEARCH("IT Comms Room",B20)))</formula>
    </cfRule>
    <cfRule type="containsText" dxfId="93" priority="410" operator="containsText" text="External GLH">
      <formula>NOT(ISERROR(SEARCH("External GLH",B20)))</formula>
    </cfRule>
  </conditionalFormatting>
  <conditionalFormatting sqref="B22:B25">
    <cfRule type="containsText" dxfId="92" priority="392" operator="containsText" text="Basement Disposal Store">
      <formula>NOT(ISERROR(SEARCH("Basement Disposal Store",B22)))</formula>
    </cfRule>
    <cfRule type="containsText" dxfId="91" priority="391" operator="containsText" text="IT Comms Room">
      <formula>NOT(ISERROR(SEARCH("IT Comms Room",B22)))</formula>
    </cfRule>
    <cfRule type="containsText" dxfId="90" priority="390" operator="containsText" text="External GLH">
      <formula>NOT(ISERROR(SEARCH("External GLH",B22)))</formula>
    </cfRule>
    <cfRule type="containsText" dxfId="89" priority="393" operator="containsText" text="Off-site Disposal">
      <formula>NOT(ISERROR(SEARCH("Off-site Disposal",B22)))</formula>
    </cfRule>
  </conditionalFormatting>
  <conditionalFormatting sqref="B27:B34">
    <cfRule type="containsText" dxfId="88" priority="362" operator="containsText" text="External GLH">
      <formula>NOT(ISERROR(SEARCH("External GLH",B27)))</formula>
    </cfRule>
    <cfRule type="containsText" dxfId="87" priority="365" operator="containsText" text="Off-site Disposal">
      <formula>NOT(ISERROR(SEARCH("Off-site Disposal",B27)))</formula>
    </cfRule>
    <cfRule type="containsText" dxfId="86" priority="364" operator="containsText" text="Basement Disposal Store">
      <formula>NOT(ISERROR(SEARCH("Basement Disposal Store",B27)))</formula>
    </cfRule>
    <cfRule type="containsText" dxfId="85" priority="363" operator="containsText" text="IT Comms Room">
      <formula>NOT(ISERROR(SEARCH("IT Comms Room",B27)))</formula>
    </cfRule>
  </conditionalFormatting>
  <conditionalFormatting sqref="B36:B37">
    <cfRule type="containsText" dxfId="84" priority="357" operator="containsText" text="Off-site Disposal">
      <formula>NOT(ISERROR(SEARCH("Off-site Disposal",B36)))</formula>
    </cfRule>
    <cfRule type="containsText" dxfId="83" priority="356" operator="containsText" text="Basement Disposal Store">
      <formula>NOT(ISERROR(SEARCH("Basement Disposal Store",B36)))</formula>
    </cfRule>
    <cfRule type="containsText" dxfId="82" priority="355" operator="containsText" text="IT Comms Room">
      <formula>NOT(ISERROR(SEARCH("IT Comms Room",B36)))</formula>
    </cfRule>
    <cfRule type="containsText" dxfId="81" priority="354" operator="containsText" text="External GLH">
      <formula>NOT(ISERROR(SEARCH("External GLH",B36)))</formula>
    </cfRule>
  </conditionalFormatting>
  <conditionalFormatting sqref="B39:B57">
    <cfRule type="containsText" dxfId="80" priority="281" operator="containsText" text="Off-site Disposal">
      <formula>NOT(ISERROR(SEARCH("Off-site Disposal",B39)))</formula>
    </cfRule>
    <cfRule type="containsText" dxfId="79" priority="280" operator="containsText" text="Basement Disposal Store">
      <formula>NOT(ISERROR(SEARCH("Basement Disposal Store",B39)))</formula>
    </cfRule>
    <cfRule type="containsText" dxfId="78" priority="279" operator="containsText" text="IT Comms Room">
      <formula>NOT(ISERROR(SEARCH("IT Comms Room",B39)))</formula>
    </cfRule>
    <cfRule type="containsText" dxfId="77" priority="278" operator="containsText" text="External GLH">
      <formula>NOT(ISERROR(SEARCH("External GLH",B39)))</formula>
    </cfRule>
  </conditionalFormatting>
  <conditionalFormatting sqref="B59:B63">
    <cfRule type="containsText" dxfId="76" priority="261" operator="containsText" text="Off-site Disposal">
      <formula>NOT(ISERROR(SEARCH("Off-site Disposal",B59)))</formula>
    </cfRule>
    <cfRule type="containsText" dxfId="75" priority="260" operator="containsText" text="Basement Disposal Store">
      <formula>NOT(ISERROR(SEARCH("Basement Disposal Store",B59)))</formula>
    </cfRule>
    <cfRule type="containsText" dxfId="74" priority="259" operator="containsText" text="IT Comms Room">
      <formula>NOT(ISERROR(SEARCH("IT Comms Room",B59)))</formula>
    </cfRule>
    <cfRule type="containsText" dxfId="73" priority="258" operator="containsText" text="External GLH">
      <formula>NOT(ISERROR(SEARCH("External GLH",B59)))</formula>
    </cfRule>
  </conditionalFormatting>
  <conditionalFormatting sqref="B65">
    <cfRule type="containsText" dxfId="72" priority="257" operator="containsText" text="Off-site Disposal">
      <formula>NOT(ISERROR(SEARCH("Off-site Disposal",B65)))</formula>
    </cfRule>
    <cfRule type="containsText" dxfId="71" priority="256" operator="containsText" text="Basement Disposal Store">
      <formula>NOT(ISERROR(SEARCH("Basement Disposal Store",B65)))</formula>
    </cfRule>
    <cfRule type="containsText" dxfId="70" priority="255" operator="containsText" text="IT Comms Room">
      <formula>NOT(ISERROR(SEARCH("IT Comms Room",B65)))</formula>
    </cfRule>
    <cfRule type="containsText" dxfId="69" priority="254" operator="containsText" text="External GLH">
      <formula>NOT(ISERROR(SEARCH("External GLH",B65)))</formula>
    </cfRule>
  </conditionalFormatting>
  <conditionalFormatting sqref="B67:B70">
    <cfRule type="containsText" dxfId="68" priority="240" operator="containsText" text="Basement Disposal Store">
      <formula>NOT(ISERROR(SEARCH("Basement Disposal Store",B67)))</formula>
    </cfRule>
    <cfRule type="containsText" dxfId="67" priority="241" operator="containsText" text="Off-site Disposal">
      <formula>NOT(ISERROR(SEARCH("Off-site Disposal",B67)))</formula>
    </cfRule>
    <cfRule type="containsText" dxfId="66" priority="238" operator="containsText" text="External GLH">
      <formula>NOT(ISERROR(SEARCH("External GLH",B67)))</formula>
    </cfRule>
    <cfRule type="containsText" dxfId="65" priority="239" operator="containsText" text="IT Comms Room">
      <formula>NOT(ISERROR(SEARCH("IT Comms Room",B67)))</formula>
    </cfRule>
  </conditionalFormatting>
  <conditionalFormatting sqref="B74:B78">
    <cfRule type="containsText" dxfId="64" priority="221" operator="containsText" text="Off-site Disposal">
      <formula>NOT(ISERROR(SEARCH("Off-site Disposal",B74)))</formula>
    </cfRule>
    <cfRule type="containsText" dxfId="63" priority="219" operator="containsText" text="IT Comms Room">
      <formula>NOT(ISERROR(SEARCH("IT Comms Room",B74)))</formula>
    </cfRule>
    <cfRule type="containsText" dxfId="62" priority="218" operator="containsText" text="External GLH">
      <formula>NOT(ISERROR(SEARCH("External GLH",B74)))</formula>
    </cfRule>
    <cfRule type="containsText" dxfId="61" priority="220" operator="containsText" text="Basement Disposal Store">
      <formula>NOT(ISERROR(SEARCH("Basement Disposal Store",B74)))</formula>
    </cfRule>
  </conditionalFormatting>
  <conditionalFormatting sqref="B80">
    <cfRule type="containsText" dxfId="60" priority="217" operator="containsText" text="Off-site Disposal">
      <formula>NOT(ISERROR(SEARCH("Off-site Disposal",B80)))</formula>
    </cfRule>
    <cfRule type="containsText" dxfId="59" priority="216" operator="containsText" text="Basement Disposal Store">
      <formula>NOT(ISERROR(SEARCH("Basement Disposal Store",B80)))</formula>
    </cfRule>
    <cfRule type="containsText" dxfId="58" priority="215" operator="containsText" text="IT Comms Room">
      <formula>NOT(ISERROR(SEARCH("IT Comms Room",B80)))</formula>
    </cfRule>
    <cfRule type="containsText" dxfId="57" priority="214" operator="containsText" text="External GLH">
      <formula>NOT(ISERROR(SEARCH("External GLH",B80)))</formula>
    </cfRule>
  </conditionalFormatting>
  <conditionalFormatting sqref="B83:B88">
    <cfRule type="containsText" dxfId="56" priority="193" operator="containsText" text="Off-site Disposal">
      <formula>NOT(ISERROR(SEARCH("Off-site Disposal",B83)))</formula>
    </cfRule>
    <cfRule type="containsText" dxfId="55" priority="192" operator="containsText" text="Basement Disposal Store">
      <formula>NOT(ISERROR(SEARCH("Basement Disposal Store",B83)))</formula>
    </cfRule>
    <cfRule type="containsText" dxfId="54" priority="191" operator="containsText" text="IT Comms Room">
      <formula>NOT(ISERROR(SEARCH("IT Comms Room",B83)))</formula>
    </cfRule>
    <cfRule type="containsText" dxfId="53" priority="190" operator="containsText" text="External GLH">
      <formula>NOT(ISERROR(SEARCH("External GLH",B83)))</formula>
    </cfRule>
  </conditionalFormatting>
  <conditionalFormatting sqref="B91:B92">
    <cfRule type="containsText" dxfId="52" priority="185" operator="containsText" text="Off-site Disposal">
      <formula>NOT(ISERROR(SEARCH("Off-site Disposal",B91)))</formula>
    </cfRule>
    <cfRule type="containsText" dxfId="51" priority="184" operator="containsText" text="Basement Disposal Store">
      <formula>NOT(ISERROR(SEARCH("Basement Disposal Store",B91)))</formula>
    </cfRule>
    <cfRule type="containsText" dxfId="50" priority="183" operator="containsText" text="IT Comms Room">
      <formula>NOT(ISERROR(SEARCH("IT Comms Room",B91)))</formula>
    </cfRule>
    <cfRule type="containsText" dxfId="49" priority="182" operator="containsText" text="External GLH">
      <formula>NOT(ISERROR(SEARCH("External GLH",B91)))</formula>
    </cfRule>
  </conditionalFormatting>
  <conditionalFormatting sqref="B94:B98">
    <cfRule type="containsText" dxfId="48" priority="163" operator="containsText" text="IT Comms Room">
      <formula>NOT(ISERROR(SEARCH("IT Comms Room",B94)))</formula>
    </cfRule>
    <cfRule type="containsText" dxfId="47" priority="164" operator="containsText" text="Basement Disposal Store">
      <formula>NOT(ISERROR(SEARCH("Basement Disposal Store",B94)))</formula>
    </cfRule>
    <cfRule type="containsText" dxfId="46" priority="165" operator="containsText" text="Off-site Disposal">
      <formula>NOT(ISERROR(SEARCH("Off-site Disposal",B94)))</formula>
    </cfRule>
    <cfRule type="containsText" dxfId="45" priority="162" operator="containsText" text="External GLH">
      <formula>NOT(ISERROR(SEARCH("External GLH",B94)))</formula>
    </cfRule>
  </conditionalFormatting>
  <conditionalFormatting sqref="B100:B103">
    <cfRule type="containsText" dxfId="44" priority="148" operator="containsText" text="Basement Disposal Store">
      <formula>NOT(ISERROR(SEARCH("Basement Disposal Store",B100)))</formula>
    </cfRule>
    <cfRule type="containsText" dxfId="43" priority="147" operator="containsText" text="IT Comms Room">
      <formula>NOT(ISERROR(SEARCH("IT Comms Room",B100)))</formula>
    </cfRule>
    <cfRule type="containsText" dxfId="42" priority="146" operator="containsText" text="External GLH">
      <formula>NOT(ISERROR(SEARCH("External GLH",B100)))</formula>
    </cfRule>
    <cfRule type="containsText" dxfId="41" priority="149" operator="containsText" text="Off-site Disposal">
      <formula>NOT(ISERROR(SEARCH("Off-site Disposal",B100)))</formula>
    </cfRule>
  </conditionalFormatting>
  <conditionalFormatting sqref="B107">
    <cfRule type="containsText" dxfId="40" priority="142" operator="containsText" text="External GLH">
      <formula>NOT(ISERROR(SEARCH("External GLH",B107)))</formula>
    </cfRule>
    <cfRule type="containsText" dxfId="39" priority="145" operator="containsText" text="Off-site Disposal">
      <formula>NOT(ISERROR(SEARCH("Off-site Disposal",B107)))</formula>
    </cfRule>
    <cfRule type="containsText" dxfId="38" priority="144" operator="containsText" text="Basement Disposal Store">
      <formula>NOT(ISERROR(SEARCH("Basement Disposal Store",B107)))</formula>
    </cfRule>
    <cfRule type="containsText" dxfId="37" priority="143" operator="containsText" text="IT Comms Room">
      <formula>NOT(ISERROR(SEARCH("IT Comms Room",B107)))</formula>
    </cfRule>
  </conditionalFormatting>
  <conditionalFormatting sqref="B109:B113">
    <cfRule type="containsText" dxfId="36" priority="124" operator="containsText" text="Basement Disposal Store">
      <formula>NOT(ISERROR(SEARCH("Basement Disposal Store",B109)))</formula>
    </cfRule>
    <cfRule type="containsText" dxfId="35" priority="125" operator="containsText" text="Off-site Disposal">
      <formula>NOT(ISERROR(SEARCH("Off-site Disposal",B109)))</formula>
    </cfRule>
    <cfRule type="containsText" dxfId="34" priority="122" operator="containsText" text="External GLH">
      <formula>NOT(ISERROR(SEARCH("External GLH",B109)))</formula>
    </cfRule>
    <cfRule type="containsText" dxfId="33" priority="123" operator="containsText" text="IT Comms Room">
      <formula>NOT(ISERROR(SEARCH("IT Comms Room",B109)))</formula>
    </cfRule>
  </conditionalFormatting>
  <conditionalFormatting sqref="B116">
    <cfRule type="containsText" dxfId="32" priority="121" operator="containsText" text="Off-site Disposal">
      <formula>NOT(ISERROR(SEARCH("Off-site Disposal",B116)))</formula>
    </cfRule>
    <cfRule type="containsText" dxfId="31" priority="120" operator="containsText" text="Basement Disposal Store">
      <formula>NOT(ISERROR(SEARCH("Basement Disposal Store",B116)))</formula>
    </cfRule>
    <cfRule type="containsText" dxfId="30" priority="119" operator="containsText" text="IT Comms Room">
      <formula>NOT(ISERROR(SEARCH("IT Comms Room",B116)))</formula>
    </cfRule>
    <cfRule type="containsText" dxfId="29" priority="118" operator="containsText" text="External GLH">
      <formula>NOT(ISERROR(SEARCH("External GLH",B116)))</formula>
    </cfRule>
  </conditionalFormatting>
  <conditionalFormatting sqref="B118">
    <cfRule type="containsText" dxfId="28" priority="114" operator="containsText" text="External GLH">
      <formula>NOT(ISERROR(SEARCH("External GLH",B118)))</formula>
    </cfRule>
    <cfRule type="containsText" dxfId="27" priority="117" operator="containsText" text="Off-site Disposal">
      <formula>NOT(ISERROR(SEARCH("Off-site Disposal",B118)))</formula>
    </cfRule>
    <cfRule type="containsText" dxfId="26" priority="116" operator="containsText" text="Basement Disposal Store">
      <formula>NOT(ISERROR(SEARCH("Basement Disposal Store",B118)))</formula>
    </cfRule>
    <cfRule type="containsText" dxfId="25" priority="115" operator="containsText" text="IT Comms Room">
      <formula>NOT(ISERROR(SEARCH("IT Comms Room",B118)))</formula>
    </cfRule>
  </conditionalFormatting>
  <conditionalFormatting sqref="B120:B131">
    <cfRule type="containsText" dxfId="24" priority="68" operator="containsText" text="Basement Disposal Store">
      <formula>NOT(ISERROR(SEARCH("Basement Disposal Store",B120)))</formula>
    </cfRule>
    <cfRule type="containsText" dxfId="23" priority="66" operator="containsText" text="External GLH">
      <formula>NOT(ISERROR(SEARCH("External GLH",B120)))</formula>
    </cfRule>
    <cfRule type="containsText" dxfId="22" priority="67" operator="containsText" text="IT Comms Room">
      <formula>NOT(ISERROR(SEARCH("IT Comms Room",B120)))</formula>
    </cfRule>
    <cfRule type="containsText" dxfId="21" priority="69" operator="containsText" text="Off-site Disposal">
      <formula>NOT(ISERROR(SEARCH("Off-site Disposal",B120)))</formula>
    </cfRule>
  </conditionalFormatting>
  <conditionalFormatting sqref="B133:B137">
    <cfRule type="containsText" dxfId="20" priority="49" operator="containsText" text="Off-site Disposal">
      <formula>NOT(ISERROR(SEARCH("Off-site Disposal",B133)))</formula>
    </cfRule>
    <cfRule type="containsText" dxfId="19" priority="48" operator="containsText" text="Basement Disposal Store">
      <formula>NOT(ISERROR(SEARCH("Basement Disposal Store",B133)))</formula>
    </cfRule>
    <cfRule type="containsText" dxfId="18" priority="47" operator="containsText" text="IT Comms Room">
      <formula>NOT(ISERROR(SEARCH("IT Comms Room",B133)))</formula>
    </cfRule>
    <cfRule type="containsText" dxfId="17" priority="46" operator="containsText" text="External GLH">
      <formula>NOT(ISERROR(SEARCH("External GLH",B133)))</formula>
    </cfRule>
  </conditionalFormatting>
  <conditionalFormatting sqref="B139:B146">
    <cfRule type="containsText" dxfId="16" priority="17" operator="containsText" text="Off-site Disposal">
      <formula>NOT(ISERROR(SEARCH("Off-site Disposal",B139)))</formula>
    </cfRule>
    <cfRule type="containsText" dxfId="15" priority="16" operator="containsText" text="Basement Disposal Store">
      <formula>NOT(ISERROR(SEARCH("Basement Disposal Store",B139)))</formula>
    </cfRule>
    <cfRule type="containsText" dxfId="14" priority="15" operator="containsText" text="IT Comms Room">
      <formula>NOT(ISERROR(SEARCH("IT Comms Room",B139)))</formula>
    </cfRule>
    <cfRule type="containsText" dxfId="13" priority="14" operator="containsText" text="External GLH">
      <formula>NOT(ISERROR(SEARCH("External GLH",B139)))</formula>
    </cfRule>
  </conditionalFormatting>
  <conditionalFormatting sqref="K128">
    <cfRule type="containsText" dxfId="12" priority="10" operator="containsText" text="Disposed of Equipment">
      <formula>NOT(ISERROR(SEARCH("Disposed of Equipment",K128)))</formula>
    </cfRule>
    <cfRule type="containsText" dxfId="11" priority="9" operator="containsText" text="Damaged - Beyond Economical Repair">
      <formula>NOT(ISERROR(SEARCH("Damaged - Beyond Economical Repair",K128)))</formula>
    </cfRule>
    <cfRule type="containsText" dxfId="10" priority="8" operator="containsText" text="Assigned awaiting pickup">
      <formula>NOT(ISERROR(SEARCH("Assigned awaiting pickup",K128)))</formula>
    </cfRule>
    <cfRule type="containsText" dxfId="9" priority="7" operator="containsText" text="Awaiting Re-Assignment">
      <formula>NOT(ISERROR(SEARCH("Awaiting Re-Assignment",K128)))</formula>
    </cfRule>
    <cfRule type="containsText" dxfId="8" priority="6" operator="containsText" text="Built + Ready to Deploy">
      <formula>NOT(ISERROR(SEARCH("Built + Ready to Deploy",K128)))</formula>
    </cfRule>
    <cfRule type="containsText" dxfId="7" priority="5" operator="containsText" text="Deployed / Still with Leaver">
      <formula>NOT(ISERROR(SEARCH("Deployed / Still with Leaver",K128)))</formula>
    </cfRule>
    <cfRule type="containsText" dxfId="6" priority="4" operator="containsText" text="Ready to be wiped">
      <formula>NOT(ISERROR(SEARCH("Ready to be wiped",K128)))</formula>
    </cfRule>
    <cfRule type="containsText" dxfId="5" priority="2" operator="containsText" text="Deployed / UNKNOWN User">
      <formula>NOT(ISERROR(SEARCH("Deployed / UNKNOWN User",K128)))</formula>
    </cfRule>
    <cfRule type="containsText" dxfId="4" priority="13" operator="containsText" text="New + Awaiting Assignment">
      <formula>NOT(ISERROR(SEARCH("New + Awaiting Assignment",K128)))</formula>
    </cfRule>
    <cfRule type="containsText" dxfId="3" priority="12" operator="containsText" text="Ready for Disposal">
      <formula>NOT(ISERROR(SEARCH("Ready for Disposal",K128)))</formula>
    </cfRule>
    <cfRule type="containsText" dxfId="2" priority="11" operator="containsText" text="Stolen Equipment">
      <formula>NOT(ISERROR(SEARCH("Stolen Equipment",K128)))</formula>
    </cfRule>
    <cfRule type="containsText" dxfId="1" priority="3" operator="containsText" text="Wiped - To Rebuild">
      <formula>NOT(ISERROR(SEARCH("Wiped - To Rebuild",K128)))</formula>
    </cfRule>
  </conditionalFormatting>
  <conditionalFormatting sqref="L2:L169">
    <cfRule type="duplicateValues" dxfId="0" priority="427"/>
  </conditionalFormatting>
  <dataValidations count="3">
    <dataValidation type="list" allowBlank="1" showInputMessage="1" showErrorMessage="1" sqref="B15:B16 B20 B22:B25 B27:B32 B34 B36 B39:B43 B45:B51 B53:B57 B59:B63 B65 B67:B70 B74:B76 B78 B80 B83:B88 B91:B92 B95:B98 B101:B103 B107 B110:B113 B116 B118 B120:B121 B123:B129 B131 B134:B137 B139:B146" xr:uid="{00000000-0002-0000-0000-000000000000}">
      <formula1>Machine_Location_List</formula1>
    </dataValidation>
    <dataValidation type="list" allowBlank="1" showInputMessage="1" showErrorMessage="1" sqref="B100 K128" xr:uid="{00000000-0002-0000-0000-000001000000}">
      <formula1>Machine_Status_List</formula1>
    </dataValidation>
    <dataValidation type="list" allowBlank="1" showInputMessage="1" showErrorMessage="1" sqref="D15:D16 D20 D22:D25 D27:D28 D30:D32 D34 D36 D39:D43 D45:D51 D53:D57 D59:D63 D65 D67:D70 D74:D76 D78 D80 D83:D88 D91:D92 D95:D98 D100:D103 D107 D110:D113 D116 D118 D120:D121 D123:D129 D131 D134:D137 D139:D146 K29" xr:uid="{00000000-0002-0000-0000-000002000000}">
      <formula1>Asset_Make_List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LISTS!$A$2:$A$5</xm:f>
          </x14:formula1>
          <xm:sqref>C2:C566</xm:sqref>
        </x14:dataValidation>
        <x14:dataValidation type="list" allowBlank="1" showInputMessage="1" showErrorMessage="1" xr:uid="{00000000-0002-0000-0000-000004000000}">
          <x14:formula1>
            <xm:f>LISTS!$C$2:$C$8</xm:f>
          </x14:formula1>
          <xm:sqref>J2:J566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="150" zoomScaleNormal="150" workbookViewId="0">
      <selection activeCell="C9" sqref="C9"/>
    </sheetView>
  </sheetViews>
  <sheetFormatPr defaultColWidth="8.88671875" defaultRowHeight="14.4" x14ac:dyDescent="0.3"/>
  <cols>
    <col min="1" max="1" width="30.88671875" customWidth="1"/>
    <col min="2" max="2" width="3.44140625" customWidth="1"/>
    <col min="3" max="3" width="21.44140625" customWidth="1"/>
  </cols>
  <sheetData>
    <row r="1" spans="1:3" x14ac:dyDescent="0.3">
      <c r="A1" s="3" t="s">
        <v>2</v>
      </c>
      <c r="C1" s="3" t="s">
        <v>9</v>
      </c>
    </row>
    <row r="2" spans="1:3" x14ac:dyDescent="0.3">
      <c r="A2" s="4" t="s">
        <v>83</v>
      </c>
      <c r="C2" t="s">
        <v>405</v>
      </c>
    </row>
    <row r="3" spans="1:3" x14ac:dyDescent="0.3">
      <c r="A3" s="5" t="s">
        <v>46</v>
      </c>
      <c r="C3" t="s">
        <v>406</v>
      </c>
    </row>
    <row r="4" spans="1:3" x14ac:dyDescent="0.3">
      <c r="A4" s="4" t="s">
        <v>16</v>
      </c>
      <c r="C4" t="s">
        <v>19</v>
      </c>
    </row>
    <row r="5" spans="1:3" x14ac:dyDescent="0.3">
      <c r="A5" s="5" t="s">
        <v>407</v>
      </c>
      <c r="C5" t="s">
        <v>408</v>
      </c>
    </row>
    <row r="6" spans="1:3" x14ac:dyDescent="0.3">
      <c r="C6" t="s">
        <v>409</v>
      </c>
    </row>
    <row r="7" spans="1:3" x14ac:dyDescent="0.3">
      <c r="C7" t="s">
        <v>410</v>
      </c>
    </row>
    <row r="8" spans="1:3" x14ac:dyDescent="0.3">
      <c r="C8" t="s">
        <v>411</v>
      </c>
    </row>
  </sheetData>
  <sortState xmlns:xlrd2="http://schemas.microsoft.com/office/spreadsheetml/2017/richdata2" ref="A3:A5">
    <sortCondition ref="A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70A7ED633E25428DBA0AC3AD3F3D52" ma:contentTypeVersion="4" ma:contentTypeDescription="Create a new document." ma:contentTypeScope="" ma:versionID="bbcf42b41595ffa50c104e2ab1d76452">
  <xsd:schema xmlns:xsd="http://www.w3.org/2001/XMLSchema" xmlns:xs="http://www.w3.org/2001/XMLSchema" xmlns:p="http://schemas.microsoft.com/office/2006/metadata/properties" xmlns:ns3="3c8ef2ed-5168-49c3-95e1-cb339fc4e0af" targetNamespace="http://schemas.microsoft.com/office/2006/metadata/properties" ma:root="true" ma:fieldsID="b54249d72027027b544bf471822a0b3b" ns3:_="">
    <xsd:import namespace="3c8ef2ed-5168-49c3-95e1-cb339fc4e0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ef2ed-5168-49c3-95e1-cb339fc4e0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9FA81B-28E6-4533-B8D8-25E70AB2735D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3c8ef2ed-5168-49c3-95e1-cb339fc4e0a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2BD9C72-C807-4EDB-AE98-6A4354C55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8ef2ed-5168-49c3-95e1-cb339fc4e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02A3EB-2E2A-4D73-A593-5637B917C9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VMLY&amp;R Asset Register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vmpbiadmin</dc:creator>
  <cp:keywords/>
  <dc:description/>
  <cp:lastModifiedBy>Yuvan Raj</cp:lastModifiedBy>
  <cp:revision/>
  <dcterms:created xsi:type="dcterms:W3CDTF">2020-02-12T12:20:17Z</dcterms:created>
  <dcterms:modified xsi:type="dcterms:W3CDTF">2025-10-13T14:59:55Z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0x0101007A70A7ED633E25428DBA0AC3AD3F3D52</vt:lpwstr>
  </property>
</Properties>
</file>